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Đặc tả Use Case" sheetId="1" state="visible" r:id="rId3"/>
    <sheet name="Screen Design" sheetId="2" state="visible" r:id="rId4"/>
    <sheet name="Test case" sheetId="3" state="visible" r:id="rId5"/>
    <sheet name="Quy tắc nghiệp vụ" sheetId="4" state="visible" r:id="rId6"/>
    <sheet name="CSDL" sheetId="5" state="visible" r:id="rId7"/>
  </sheets>
  <definedNames>
    <definedName function="false" hidden="true" localSheetId="4" name="_xlnm._FilterDatabase" vbProcedure="false">CSDL!$A$3:$D$123</definedName>
    <definedName function="false" hidden="true" localSheetId="0" name="_xlnm._FilterDatabase" vbProcedure="false">'Đặc tả Use Case'!$A$3:$J$19</definedName>
    <definedName function="false" hidden="true" localSheetId="3" name="_xlnm._FilterDatabase" vbProcedure="false">'Quy tắc nghiệp vụ'!$A$3:$D$15</definedName>
    <definedName function="false" hidden="true" localSheetId="1" name="_xlnm._FilterDatabase" vbProcedure="false">'Screen Design'!$A$3:$E$211</definedName>
    <definedName function="false" hidden="true" localSheetId="2" name="_xlnm._FilterDatabase" vbProcedure="false">'Test case'!$A$3:$G$52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<sst xmlns="http://schemas.openxmlformats.org/spreadsheetml/2006/main" count="2015" uniqueCount="921">
  <si>
    <t xml:space="preserve">ĐẶC TẢ USE CASE - QUẢN LÝ CHO THUÊ VĂN PHÒNG CAO ỐC</t>
  </si>
  <si>
    <t xml:space="preserve">Mã UC</t>
  </si>
  <si>
    <t xml:space="preserve">Tên use case</t>
  </si>
  <si>
    <t xml:space="preserve">Actor</t>
  </si>
  <si>
    <t xml:space="preserve">Mô tả</t>
  </si>
  <si>
    <t xml:space="preserve">Tiền điều kiện</t>
  </si>
  <si>
    <t xml:space="preserve">Hậu điều kiện</t>
  </si>
  <si>
    <t xml:space="preserve">Luồng chính</t>
  </si>
  <si>
    <t xml:space="preserve">Luồng thay thế / ngoại lệ</t>
  </si>
  <si>
    <t xml:space="preserve">Quy tắc nghiệp vụ</t>
  </si>
  <si>
    <t xml:space="preserve">Form</t>
  </si>
  <si>
    <t xml:space="preserve">UC01</t>
  </si>
  <si>
    <t xml:space="preserve">Đăng nhập</t>
  </si>
  <si>
    <t xml:space="preserve">Nhân viên quản lý, Kế toán, Kỹ thuật</t>
  </si>
  <si>
    <t xml:space="preserve">Xác thực người dùng để vào hệ thống.</t>
  </si>
  <si>
    <t xml:space="preserve">Tài khoản tồn tại và đang hoạt động.</t>
  </si>
  <si>
    <t xml:space="preserve">Vào giao diện chính; hợp đồng hết hạn được cập nhật trạng thái.</t>
  </si>
  <si>
    <t xml:space="preserve">1. Nhập tên đăng nhập, mật khẩu
2. Hệ thống băm SHA-256 và so khớp bảng TaiKhoan
3. Mở MainForm</t>
  </si>
  <si>
    <t xml:space="preserve">Sai tên/mật khẩu → báo lỗi, xóa ô mật khẩu.</t>
  </si>
  <si>
    <t xml:space="preserve">Mật khẩu lưu dạng băm SHA-256.</t>
  </si>
  <si>
    <t xml:space="preserve">LoginForm</t>
  </si>
  <si>
    <t xml:space="preserve">UC02</t>
  </si>
  <si>
    <t xml:space="preserve">Quản lý tầng</t>
  </si>
  <si>
    <t xml:space="preserve">Nhân viên quản lý</t>
  </si>
  <si>
    <t xml:space="preserve">Thêm, sửa, xóa, tìm kiếm tầng.</t>
  </si>
  <si>
    <t xml:space="preserve">Đã đăng nhập.</t>
  </si>
  <si>
    <t xml:space="preserve">Dữ liệu bảng Tang được cập nhật.</t>
  </si>
  <si>
    <t xml:space="preserve">1. Chọn chức năng Quản lý tầng
2. Thêm/Sửa/Xóa
3. Lưu</t>
  </si>
  <si>
    <t xml:space="preserve">Trùng số tầng/tên tầng → báo lỗi; xóa tầng đang có phòng → báo lỗi ràng buộc.</t>
  </si>
  <si>
    <t xml:space="preserve">SoTang ≥ 1, duy nhất.</t>
  </si>
  <si>
    <t xml:space="preserve">TangForm</t>
  </si>
  <si>
    <t xml:space="preserve">UC03</t>
  </si>
  <si>
    <t xml:space="preserve">Quản lý văn phòng</t>
  </si>
  <si>
    <t xml:space="preserve">Quản lý phòng: mã phòng, tầng, diện tích, hướng, giá thuê, trạng thái.</t>
  </si>
  <si>
    <t xml:space="preserve">Đã có tầng.</t>
  </si>
  <si>
    <t xml:space="preserve">Dữ liệu bảng VanPhong được cập nhật.</t>
  </si>
  <si>
    <t xml:space="preserve">1. Thêm/Sửa phòng
2. Chọn tầng, nhập diện tích, hướng, giá
3. Lưu</t>
  </si>
  <si>
    <t xml:space="preserve">Không cho đặt "Đang thuê" thủ công; không xóa/đổi trạng thái phòng đang thuê.</t>
  </si>
  <si>
    <t xml:space="preserve">DienTich &gt; 0, GiaThue &gt; 0; MaPhong duy nhất.</t>
  </si>
  <si>
    <t xml:space="preserve">VanPhongForm</t>
  </si>
  <si>
    <t xml:space="preserve">UC04</t>
  </si>
  <si>
    <t xml:space="preserve">Quản lý khách hàng, công ty</t>
  </si>
  <si>
    <t xml:space="preserve">Lưu thông tin khách hàng và công ty thuê.</t>
  </si>
  <si>
    <t xml:space="preserve">Cập nhật CongTy, KhachHang.</t>
  </si>
  <si>
    <t xml:space="preserve">1. Chọn tab Công ty hoặc Khách hàng
2. Thêm/Sửa/Xóa/Tìm kiếm</t>
  </si>
  <si>
    <t xml:space="preserve">CCCD, MST, SĐT, Email sai định dạng → báo lỗi; trùng CCCD/MST → báo lỗi.</t>
  </si>
  <si>
    <t xml:space="preserve">CCCD 9 hoặc 12 số; MST 10 hoặc 13 số.</t>
  </si>
  <si>
    <t xml:space="preserve">KhachHangCongTyForm</t>
  </si>
  <si>
    <t xml:space="preserve">UC05</t>
  </si>
  <si>
    <t xml:space="preserve">Tham khảo phòng và giá</t>
  </si>
  <si>
    <t xml:space="preserve">Khách hàng</t>
  </si>
  <si>
    <t xml:space="preserve">Khách xem vị trí, diện tích, hướng, giá phòng trống.</t>
  </si>
  <si>
    <t xml:space="preserve">Phòng có trạng thái Trống.</t>
  </si>
  <si>
    <t xml:space="preserve">Khách biết thông tin để quyết định thuê.</t>
  </si>
  <si>
    <t xml:space="preserve">1. Nhân viên lọc phòng theo tầng/trạng thái
2. Cung cấp diện tích, hướng, giá cho khách</t>
  </si>
  <si>
    <t xml:space="preserve">Hết phòng phù hợp → thông báo cho khách.</t>
  </si>
  <si>
    <t xml:space="preserve">Giá thuê tùy độ cao, diện tích.</t>
  </si>
  <si>
    <t xml:space="preserve">UC06</t>
  </si>
  <si>
    <t xml:space="preserve">Ký hợp đồng thuê</t>
  </si>
  <si>
    <t xml:space="preserve">Khách hàng, Nhân viên quản lý</t>
  </si>
  <si>
    <t xml:space="preserve">Lập hợp đồng thuê một hoặc nhiều văn phòng.</t>
  </si>
  <si>
    <t xml:space="preserve">Khách hàng đã có hồ sơ; có phòng trống.</t>
  </si>
  <si>
    <t xml:space="preserve">Hợp đồng + chi tiết phòng được lưu; phòng chuyển Đang thuê; lịch thanh toán được phát sinh; (tùy chọn) 6 tháng đầu được thu.</t>
  </si>
  <si>
    <t xml:space="preserve">1. Chọn khách hàng
2. Nhập ngày ký, ngày bắt đầu, số tháng
3. Tick chọn nhiều văn phòng
4. Chọn thu 6 tháng đầu
5. Lưu (1 Transaction)</t>
  </si>
  <si>
    <t xml:space="preserve">Số tháng &lt; 6 → từ chối; phòng không còn trống → Rollback; ngày bắt đầu &lt; ngày ký → từ chối.</t>
  </si>
  <si>
    <t xml:space="preserve">Thuê tối thiểu 6 tháng; 1 hợp đồng nhiều văn phòng; trả trước 6 tháng đầu.</t>
  </si>
  <si>
    <t xml:space="preserve">HopDongForm</t>
  </si>
  <si>
    <t xml:space="preserve">UC07</t>
  </si>
  <si>
    <t xml:space="preserve">Lập phiếu gia hạn</t>
  </si>
  <si>
    <t xml:space="preserve">Gia hạn hợp đồng đang hiệu lực.</t>
  </si>
  <si>
    <t xml:space="preserve">Hợp đồng hiệu lực, chưa quá hạn.</t>
  </si>
  <si>
    <t xml:space="preserve">Phiếu gia hạn + chi tiết phòng; ngày kết thúc mới; lịch thanh toán bổ sung.</t>
  </si>
  <si>
    <t xml:space="preserve">1. Chọn hợp đồng
2. Nhập số tháng gia hạn
3. Kiểm tra điều kiện
4. Xác nhận (1 Transaction)</t>
  </si>
  <si>
    <t xml:space="preserve">Còn công nợ → từ chối; gia hạn cộng dồn &gt; ½ thời gian thuê ban đầu → từ chối; hợp đồng hết hạn → từ chối.</t>
  </si>
  <si>
    <t xml:space="preserve">Gia hạn ≤ ½ thời gian thuê ban đầu; chỉ khi hết công nợ.</t>
  </si>
  <si>
    <t xml:space="preserve">GiaHanForm</t>
  </si>
  <si>
    <t xml:space="preserve">UC08</t>
  </si>
  <si>
    <t xml:space="preserve">Thanh toán tiền thuê</t>
  </si>
  <si>
    <t xml:space="preserve">Kế toán, Khách hàng</t>
  </si>
  <si>
    <t xml:space="preserve">Thu tiền 6 tháng đầu và từng tháng từ tháng thứ 7.</t>
  </si>
  <si>
    <t xml:space="preserve">Hợp đồng có lịch thanh toán.</t>
  </si>
  <si>
    <t xml:space="preserve">Kỳ được ghi nhận Đã thanh toán, có ngày thanh toán.</t>
  </si>
  <si>
    <t xml:space="preserve">1. Chọn hợp đồng/kỳ
2. Chọn ngày thanh toán
3. Xác nhận</t>
  </si>
  <si>
    <t xml:space="preserve">Còn kỳ trước chưa thanh toán → từ chối; hủy thanh toán chỉ với kỳ gần nhất.</t>
  </si>
  <si>
    <t xml:space="preserve">Kỳ 1 = 6 tháng đầu; từ tháng 7 trả đầu mỗi tháng.</t>
  </si>
  <si>
    <t xml:space="preserve">ThanhToanForm</t>
  </si>
  <si>
    <t xml:space="preserve">UC09</t>
  </si>
  <si>
    <t xml:space="preserve">Quản lý dịch vụ</t>
  </si>
  <si>
    <t xml:space="preserve">Danh mục dịch vụ (điện, nước, internet...) và đơn giá; tính nhanh tiền theo chỉ số.</t>
  </si>
  <si>
    <t xml:space="preserve">Cập nhật DichVu.</t>
  </si>
  <si>
    <t xml:space="preserve">1. Thêm/Sửa dịch vụ
2. Tab tính tiền: nhập chỉ số cũ/mới</t>
  </si>
  <si>
    <t xml:space="preserve">Chỉ số mới &lt; chỉ số cũ → báo lỗi.</t>
  </si>
  <si>
    <t xml:space="preserve">Dịch vụ tính theo chỉ số hoặc cố định.</t>
  </si>
  <si>
    <t xml:space="preserve">DichVuForm</t>
  </si>
  <si>
    <t xml:space="preserve">UC10</t>
  </si>
  <si>
    <t xml:space="preserve">Lập hóa đơn dịch vụ</t>
  </si>
  <si>
    <t xml:space="preserve">Lập hóa đơn dịch vụ cuối tháng cho hợp đồng.</t>
  </si>
  <si>
    <t xml:space="preserve">Hợp đồng hiệu lực trong tháng tính.</t>
  </si>
  <si>
    <t xml:space="preserve">Hóa đơn + chi tiết được lưu, trạng thái Chưa thanh toán.</t>
  </si>
  <si>
    <t xml:space="preserve">1. Chọn hợp đồng, tháng, năm
2. Nạp dịch vụ (chỉ số cũ lấy từ kỳ trước)
3. Nhập chỉ số mới
4. Tính tiền
5. Lập hóa đơn</t>
  </si>
  <si>
    <t xml:space="preserve">Đã có hóa đơn tháng đó → từ chối; tháng ngoài hợp đồng → từ chối; chỉ số mới &lt; cũ → từ chối.</t>
  </si>
  <si>
    <t xml:space="preserve">Dịch vụ thanh toán vào cuối tháng.</t>
  </si>
  <si>
    <t xml:space="preserve">HoaDonForm</t>
  </si>
  <si>
    <t xml:space="preserve">UC11</t>
  </si>
  <si>
    <t xml:space="preserve">Thanh toán hóa đơn dịch vụ</t>
  </si>
  <si>
    <t xml:space="preserve">Kế toán</t>
  </si>
  <si>
    <t xml:space="preserve">Ghi nhận khách đã thanh toán hóa đơn dịch vụ.</t>
  </si>
  <si>
    <t xml:space="preserve">Hóa đơn chưa thanh toán.</t>
  </si>
  <si>
    <t xml:space="preserve">Hóa đơn chuyển Đã thanh toán.</t>
  </si>
  <si>
    <t xml:space="preserve">1. Chọn hóa đơn
2. Chọn ngày thu
3. Thanh toán</t>
  </si>
  <si>
    <t xml:space="preserve">Hóa đơn đã thanh toán → báo lỗi.</t>
  </si>
  <si>
    <t xml:space="preserve">—</t>
  </si>
  <si>
    <t xml:space="preserve">UC12</t>
  </si>
  <si>
    <t xml:space="preserve">Quản lý nhân viên công ty thuê</t>
  </si>
  <si>
    <t xml:space="preserve">Khách hàng (báo), Nhân viên quản lý</t>
  </si>
  <si>
    <t xml:space="preserve">Lưu mã, hình ảnh, công ty, chức vụ, phòng, tầng của nhân viên.</t>
  </si>
  <si>
    <t xml:space="preserve">Công ty đang thuê phòng.</t>
  </si>
  <si>
    <t xml:space="preserve">Cập nhật NhanVien.</t>
  </si>
  <si>
    <t xml:space="preserve">1. Thêm nhân viên mới
2. Chọn công ty, phòng làm việc, chọn ảnh
3. Lưu</t>
  </si>
  <si>
    <t xml:space="preserve">Phòng không thuộc hợp đồng hiệu lực của công ty → từ chối; nhân viên dưới 16 tuổi → từ chối.</t>
  </si>
  <si>
    <t xml:space="preserve">Mỗi nhân viên một mã duy nhất.</t>
  </si>
  <si>
    <t xml:space="preserve">NhanVienForm</t>
  </si>
  <si>
    <t xml:space="preserve">UC13</t>
  </si>
  <si>
    <t xml:space="preserve">Quản lý thẻ giữ xe</t>
  </si>
  <si>
    <t xml:space="preserve">Cấp thẻ giữ xe kèm thông tin nhân viên và phương tiện.</t>
  </si>
  <si>
    <t xml:space="preserve">Nhân viên đang làm.</t>
  </si>
  <si>
    <t xml:space="preserve">TheGiuXe + PhuongTien được lưu (1 Transaction).</t>
  </si>
  <si>
    <t xml:space="preserve">1. Chọn nhân viên
2. Nhập mã thẻ, loại xe, biển số
3. Lưu</t>
  </si>
  <si>
    <t xml:space="preserve">Nhân viên đã có thẻ / trùng biển số → báo lỗi.</t>
  </si>
  <si>
    <t xml:space="preserve">Mỗi nhân viên một thẻ.</t>
  </si>
  <si>
    <t xml:space="preserve">TheGiuXeForm</t>
  </si>
  <si>
    <t xml:space="preserve">UC14</t>
  </si>
  <si>
    <t xml:space="preserve">Kiểm tra văn phòng định kỳ</t>
  </si>
  <si>
    <t xml:space="preserve">Nhân viên kỹ thuật</t>
  </si>
  <si>
    <t xml:space="preserve">Kiểm tra tình trạng từng phòng mỗi năm một lần.</t>
  </si>
  <si>
    <t xml:space="preserve">Phòng tồn tại.</t>
  </si>
  <si>
    <t xml:space="preserve">Lưu PhieuKiemTra.</t>
  </si>
  <si>
    <t xml:space="preserve">1. Xem phòng đến hạn kiểm tra
2. Lập phiếu
3. Đánh dấu nếu tự ý thay đổi kết cấu</t>
  </si>
  <si>
    <t xml:space="preserve">Kiểm tra lần 2 trong cùng năm → báo lỗi; ngày kiểm tra ở tương lai → từ chối.</t>
  </si>
  <si>
    <t xml:space="preserve">UNIQUE (MaVP, Nam).</t>
  </si>
  <si>
    <t xml:space="preserve">KiemTraForm</t>
  </si>
  <si>
    <t xml:space="preserve">UC15</t>
  </si>
  <si>
    <t xml:space="preserve">Xử lý vi phạm và tiền phạt</t>
  </si>
  <si>
    <t xml:space="preserve">Nhân viên kỹ thuật, Kế toán</t>
  </si>
  <si>
    <t xml:space="preserve">Lập biên bản phạt khi tự ý thay đổi kết cấu và ghi nhận nộp phạt.</t>
  </si>
  <si>
    <t xml:space="preserve">Phiếu kiểm tra có đánh dấu vi phạm.</t>
  </si>
  <si>
    <t xml:space="preserve">ViPham được lưu, tính vào công nợ khi chưa nộp.</t>
  </si>
  <si>
    <t xml:space="preserve">1. Chọn phiếu kiểm tra có vi phạm
2. Nhập nội dung, mức phạt
3. Lưu
4. Ghi nhận nộp phạt</t>
  </si>
  <si>
    <t xml:space="preserve">Phiếu không có vi phạm → từ chối; không xác định được hợp đồng → từ chối.</t>
  </si>
  <si>
    <t xml:space="preserve">Phạt theo quy định cao ốc; tiền phạt chưa nộp là công nợ.</t>
  </si>
  <si>
    <t xml:space="preserve">ViPhamForm</t>
  </si>
  <si>
    <t xml:space="preserve">UC16</t>
  </si>
  <si>
    <t xml:space="preserve">Thống kê và báo cáo</t>
  </si>
  <si>
    <t xml:space="preserve">Kế toán, Nhân viên quản lý</t>
  </si>
  <si>
    <t xml:space="preserve">Doanh thu theo tháng, tình trạng phòng theo tầng, công nợ, hợp đồng sắp hết hạn.</t>
  </si>
  <si>
    <t xml:space="preserve">Có dữ liệu.</t>
  </si>
  <si>
    <t xml:space="preserve">Hiển thị báo cáo.</t>
  </si>
  <si>
    <t xml:space="preserve">1. Chọn tab báo cáo
2. Chọn năm/số ngày
3. Xem</t>
  </si>
  <si>
    <t xml:space="preserve">Công nợ = tiền thuê đến hạn + dịch vụ + phạt chưa thanh toán.</t>
  </si>
  <si>
    <t xml:space="preserve">ThongKeForm, DashboardForm</t>
  </si>
  <si>
    <t xml:space="preserve">THIẾT KẾ MÀN HÌNH (giao diện dựng hoàn toàn bằng code, không dùng Designer)</t>
  </si>
  <si>
    <t xml:space="preserve">Các form quản lý (3-5, 9a, 11-14) dùng chung lớp BaseListForm: thanh tìm kiếm, lưới dữ liệu, khung chi tiết, nút Thêm/Sửa/Xóa/Lưu/Hủy.</t>
  </si>
  <si>
    <t xml:space="preserve">Thành phần</t>
  </si>
  <si>
    <t xml:space="preserve">Loại control</t>
  </si>
  <si>
    <t xml:space="preserve">Dữ liệu (bảng.cột)</t>
  </si>
  <si>
    <t xml:space="preserve">Ràng buộc / Ghi chú</t>
  </si>
  <si>
    <t xml:space="preserve">1. LoginForm</t>
  </si>
  <si>
    <t xml:space="preserve">Tên đăng nhập</t>
  </si>
  <si>
    <t xml:space="preserve">TextBox</t>
  </si>
  <si>
    <t xml:space="preserve">TaiKhoan.TenDangNhap</t>
  </si>
  <si>
    <t xml:space="preserve">Bắt buộc</t>
  </si>
  <si>
    <t xml:space="preserve">Mật khẩu</t>
  </si>
  <si>
    <t xml:space="preserve">TextBox (ẩn ký tự)</t>
  </si>
  <si>
    <t xml:space="preserve">TaiKhoan.MatKhau</t>
  </si>
  <si>
    <t xml:space="preserve">Bắt buộc; băm SHA-256</t>
  </si>
  <si>
    <t xml:space="preserve">Button</t>
  </si>
  <si>
    <t xml:space="preserve">Enter = Đăng nhập; sai thông tin báo lỗi</t>
  </si>
  <si>
    <t xml:space="preserve">Thoát</t>
  </si>
  <si>
    <t xml:space="preserve">Đóng ứng dụng</t>
  </si>
  <si>
    <t xml:space="preserve">2. MainForm</t>
  </si>
  <si>
    <t xml:space="preserve">Thanh trên</t>
  </si>
  <si>
    <t xml:space="preserve">Panel</t>
  </si>
  <si>
    <t xml:space="preserve">Tên hệ thống, họ tên + vai trò, nút Đăng xuất (có xác nhận)</t>
  </si>
  <si>
    <t xml:space="preserve">Sidebar</t>
  </si>
  <si>
    <t xml:space="preserve">FlowLayoutPanel</t>
  </si>
  <si>
    <t xml:space="preserve">14 nút chức năng, nút đang chọn được tô màu</t>
  </si>
  <si>
    <t xml:space="preserve">Vùng nội dung</t>
  </si>
  <si>
    <t xml:space="preserve">Nhúng form chức năng (TopLevel = false, Dock = Fill)</t>
  </si>
  <si>
    <t xml:space="preserve">Dashboard</t>
  </si>
  <si>
    <t xml:space="preserve">Thẻ Tổng số phòng</t>
  </si>
  <si>
    <t xml:space="preserve">Panel + Label</t>
  </si>
  <si>
    <t xml:space="preserve">COUNT(VanPhong)</t>
  </si>
  <si>
    <t xml:space="preserve">Thẻ Phòng đang thuê</t>
  </si>
  <si>
    <t xml:space="preserve">VanPhong.TrangThai = Đang thuê</t>
  </si>
  <si>
    <t xml:space="preserve">Thẻ Phòng trống</t>
  </si>
  <si>
    <t xml:space="preserve">VanPhong.TrangThai = Trống</t>
  </si>
  <si>
    <t xml:space="preserve">Thẻ Hợp đồng còn hiệu lực</t>
  </si>
  <si>
    <t xml:space="preserve">HopDong.TrangThai = Hiệu lực</t>
  </si>
  <si>
    <t xml:space="preserve">Thẻ Công nợ</t>
  </si>
  <si>
    <t xml:space="preserve">SUM(fn_CongNo)</t>
  </si>
  <si>
    <t xml:space="preserve">Định dạng #,##0</t>
  </si>
  <si>
    <t xml:space="preserve">HĐ sắp hết hạn (60 ngày)</t>
  </si>
  <si>
    <t xml:space="preserve">DataGridView</t>
  </si>
  <si>
    <t xml:space="preserve">HopDong</t>
  </si>
  <si>
    <t xml:space="preserve">Kỳ tiền thuê đến hạn chưa thu</t>
  </si>
  <si>
    <t xml:space="preserve">ThanhToan</t>
  </si>
  <si>
    <t xml:space="preserve">Đến hạn trong 7 ngày hoặc quá hạn</t>
  </si>
  <si>
    <t xml:space="preserve">3. TangForm</t>
  </si>
  <si>
    <t xml:space="preserve">Tiêu đề form</t>
  </si>
  <si>
    <t xml:space="preserve">Label</t>
  </si>
  <si>
    <t xml:space="preserve">Tên chức năng (chữ hoa, màu xanh đậm)</t>
  </si>
  <si>
    <t xml:space="preserve">Từ khóa</t>
  </si>
  <si>
    <t xml:space="preserve">Nhập từ khóa; Enter để tìm</t>
  </si>
  <si>
    <t xml:space="preserve">Tìm kiếm</t>
  </si>
  <si>
    <t xml:space="preserve">Lọc dữ liệu theo từ khóa</t>
  </si>
  <si>
    <t xml:space="preserve">Làm mới</t>
  </si>
  <si>
    <t xml:space="preserve">Xóa từ khóa, nạp lại dữ liệu</t>
  </si>
  <si>
    <t xml:space="preserve">Danh sách</t>
  </si>
  <si>
    <t xml:space="preserve">Chỉ đọc, chọn cả dòng; chọn dòng hiển thị chi tiết</t>
  </si>
  <si>
    <t xml:space="preserve">Số tầng *</t>
  </si>
  <si>
    <t xml:space="preserve">NumericUpDown</t>
  </si>
  <si>
    <t xml:space="preserve">Tang.SoTang</t>
  </si>
  <si>
    <t xml:space="preserve">1-200, duy nhất</t>
  </si>
  <si>
    <t xml:space="preserve">Tên tầng *</t>
  </si>
  <si>
    <t xml:space="preserve">Tang.TenTang</t>
  </si>
  <si>
    <t xml:space="preserve">Tối đa 50 ký tự, duy nhất</t>
  </si>
  <si>
    <t xml:space="preserve">Tang.MoTa</t>
  </si>
  <si>
    <t xml:space="preserve">Tối đa 200 ký tự</t>
  </si>
  <si>
    <t xml:space="preserve">Thêm</t>
  </si>
  <si>
    <t xml:space="preserve">Xóa trắng ô nhập, bật chế độ thêm</t>
  </si>
  <si>
    <t xml:space="preserve">Sửa</t>
  </si>
  <si>
    <t xml:space="preserve">Cho sửa bản ghi đang chọn</t>
  </si>
  <si>
    <t xml:space="preserve">Xóa</t>
  </si>
  <si>
    <t xml:space="preserve">Hỏi xác nhận trước khi xóa; báo thành công/thất bại</t>
  </si>
  <si>
    <t xml:space="preserve">Lưu</t>
  </si>
  <si>
    <t xml:space="preserve">Kiểm tra dữ liệu bắt buộc, gọi lớp BLL</t>
  </si>
  <si>
    <t xml:space="preserve">Hủy</t>
  </si>
  <si>
    <t xml:space="preserve">Bỏ thay đổi, về chế độ xem</t>
  </si>
  <si>
    <t xml:space="preserve">4. VanPhongForm</t>
  </si>
  <si>
    <t xml:space="preserve">Mã phòng *</t>
  </si>
  <si>
    <t xml:space="preserve">VanPhong.MaPhong</t>
  </si>
  <si>
    <t xml:space="preserve">Duy nhất, tự viết hoa</t>
  </si>
  <si>
    <t xml:space="preserve">Tầng *</t>
  </si>
  <si>
    <t xml:space="preserve">ComboBox</t>
  </si>
  <si>
    <t xml:space="preserve">VanPhong.MaTang</t>
  </si>
  <si>
    <t xml:space="preserve">Danh sách từ bảng Tang</t>
  </si>
  <si>
    <t xml:space="preserve">Diện tích *</t>
  </si>
  <si>
    <t xml:space="preserve">VanPhong.DienTich</t>
  </si>
  <si>
    <t xml:space="preserve">&gt; 0, 2 số lẻ</t>
  </si>
  <si>
    <t xml:space="preserve">Hướng *</t>
  </si>
  <si>
    <t xml:space="preserve">VanPhong.Huong</t>
  </si>
  <si>
    <t xml:space="preserve">Đông, Tây, Nam, Bắc, Đông Nam, Đông Bắc, Tây Nam, Tây Bắc</t>
  </si>
  <si>
    <t xml:space="preserve">Giá thuê / tháng *</t>
  </si>
  <si>
    <t xml:space="preserve">VanPhong.GiaThue</t>
  </si>
  <si>
    <t xml:space="preserve">&gt; 0</t>
  </si>
  <si>
    <t xml:space="preserve">Trạng thái *</t>
  </si>
  <si>
    <t xml:space="preserve">VanPhong.TrangThai</t>
  </si>
  <si>
    <t xml:space="preserve">Trống, Đang thuê (hệ thống quản lý), Bảo trì</t>
  </si>
  <si>
    <t xml:space="preserve">5. KhachHangCongTyForm</t>
  </si>
  <si>
    <t xml:space="preserve">Tab Công ty / Khách hàng</t>
  </si>
  <si>
    <t xml:space="preserve">TabControl</t>
  </si>
  <si>
    <t xml:space="preserve">Mỗi tab là một form quản lý đầy đủ</t>
  </si>
  <si>
    <t xml:space="preserve">5a. Tab Công ty</t>
  </si>
  <si>
    <t xml:space="preserve">Tên công ty *</t>
  </si>
  <si>
    <t xml:space="preserve">CongTy.TenCT</t>
  </si>
  <si>
    <t xml:space="preserve">Mã số thuế *</t>
  </si>
  <si>
    <t xml:space="preserve">CongTy.MaSoThue</t>
  </si>
  <si>
    <t xml:space="preserve">10 hoặc 13 số, duy nhất</t>
  </si>
  <si>
    <t xml:space="preserve">Số điện thoại</t>
  </si>
  <si>
    <t xml:space="preserve">CongTy.SDT</t>
  </si>
  <si>
    <t xml:space="preserve">9-11 số</t>
  </si>
  <si>
    <t xml:space="preserve">Email</t>
  </si>
  <si>
    <t xml:space="preserve">CongTy.Email</t>
  </si>
  <si>
    <t xml:space="preserve">Đúng định dạng</t>
  </si>
  <si>
    <t xml:space="preserve">Người đại diện</t>
  </si>
  <si>
    <t xml:space="preserve">CongTy.NguoiDaiDien</t>
  </si>
  <si>
    <t xml:space="preserve">Địa chỉ</t>
  </si>
  <si>
    <t xml:space="preserve">CongTy.DiaChi</t>
  </si>
  <si>
    <t xml:space="preserve">5b. Tab Khách hàng</t>
  </si>
  <si>
    <t xml:space="preserve">Họ tên *</t>
  </si>
  <si>
    <t xml:space="preserve">KhachHang.HoTen</t>
  </si>
  <si>
    <t xml:space="preserve">CCCD/CMND *</t>
  </si>
  <si>
    <t xml:space="preserve">KhachHang.CCCD</t>
  </si>
  <si>
    <t xml:space="preserve">9 hoặc 12 số, duy nhất</t>
  </si>
  <si>
    <t xml:space="preserve">Số điện thoại *</t>
  </si>
  <si>
    <t xml:space="preserve">KhachHang.SDT</t>
  </si>
  <si>
    <t xml:space="preserve">KhachHang.Email</t>
  </si>
  <si>
    <t xml:space="preserve">Thuộc công ty</t>
  </si>
  <si>
    <t xml:space="preserve">KhachHang.MaCT</t>
  </si>
  <si>
    <t xml:space="preserve">Có thể để trống (khách cá nhân)</t>
  </si>
  <si>
    <t xml:space="preserve">KhachHang.DiaChi</t>
  </si>
  <si>
    <t xml:space="preserve">6. HopDongForm</t>
  </si>
  <si>
    <t xml:space="preserve">Từ khóa / Tìm kiếm / Làm mới</t>
  </si>
  <si>
    <t xml:space="preserve">TextBox + Button</t>
  </si>
  <si>
    <t xml:space="preserve">Tìm theo số HĐ, khách hàng, công ty, trạng thái</t>
  </si>
  <si>
    <t xml:space="preserve">Danh sách hợp đồng</t>
  </si>
  <si>
    <t xml:space="preserve">Số HĐ, khách, công ty, ngày, các phòng, tiền thuê/tháng, trạng thái</t>
  </si>
  <si>
    <t xml:space="preserve">Số hợp đồng</t>
  </si>
  <si>
    <t xml:space="preserve">TextBox (chỉ đọc)</t>
  </si>
  <si>
    <t xml:space="preserve">HopDong.SoHD</t>
  </si>
  <si>
    <t xml:space="preserve">Tự sinh dạng HD-yyyy-nnn</t>
  </si>
  <si>
    <t xml:space="preserve">Khách hàng *</t>
  </si>
  <si>
    <t xml:space="preserve">HopDong.MaKH</t>
  </si>
  <si>
    <t xml:space="preserve">Ngày ký *</t>
  </si>
  <si>
    <t xml:space="preserve">DateTimePicker</t>
  </si>
  <si>
    <t xml:space="preserve">HopDong.NgayKy</t>
  </si>
  <si>
    <t xml:space="preserve">Ngày bắt đầu *</t>
  </si>
  <si>
    <t xml:space="preserve">HopDong.NgayBatDau</t>
  </si>
  <si>
    <t xml:space="preserve">≥ ngày ký</t>
  </si>
  <si>
    <t xml:space="preserve">Số tháng thuê *</t>
  </si>
  <si>
    <t xml:space="preserve">HopDong.SoThang</t>
  </si>
  <si>
    <t xml:space="preserve">6 - 120</t>
  </si>
  <si>
    <t xml:space="preserve">Ngày kết thúc</t>
  </si>
  <si>
    <t xml:space="preserve">HopDong.NgayKetThuc</t>
  </si>
  <si>
    <t xml:space="preserve">Tính tự động</t>
  </si>
  <si>
    <t xml:space="preserve">Tiền thuê / tháng, Trả trước 6 tháng đầu</t>
  </si>
  <si>
    <t xml:space="preserve">Tổng ChiTietHopDong.GiaThue</t>
  </si>
  <si>
    <t xml:space="preserve">Cập nhật theo phòng được tick</t>
  </si>
  <si>
    <t xml:space="preserve">Thu tiền 6 tháng đầu</t>
  </si>
  <si>
    <t xml:space="preserve">CheckBox</t>
  </si>
  <si>
    <t xml:space="preserve">ThanhToan (kỳ 1)</t>
  </si>
  <si>
    <t xml:space="preserve">Mặc định chọn</t>
  </si>
  <si>
    <t xml:space="preserve">Danh sách phòng (tick chọn nhiều)</t>
  </si>
  <si>
    <t xml:space="preserve">DataGridView + CheckBox</t>
  </si>
  <si>
    <t xml:space="preserve">ChiTietHopDong</t>
  </si>
  <si>
    <t xml:space="preserve">Chỉ liệt kê phòng Trống khi thêm mới</t>
  </si>
  <si>
    <t xml:space="preserve">Ghi chú</t>
  </si>
  <si>
    <t xml:space="preserve">HopDong.GhiChu</t>
  </si>
  <si>
    <t xml:space="preserve">Thêm / Sửa ghi chú / Xóa / Lưu / Hủy</t>
  </si>
  <si>
    <t xml:space="preserve">Xóa chỉ khi chưa phát sinh thanh toán</t>
  </si>
  <si>
    <t xml:space="preserve">Thanh lý</t>
  </si>
  <si>
    <t xml:space="preserve">HopDong.TrangThai</t>
  </si>
  <si>
    <t xml:space="preserve">Chỉ khi hết công nợ; trả phòng về Trống</t>
  </si>
  <si>
    <t xml:space="preserve">7. GiaHanForm</t>
  </si>
  <si>
    <t xml:space="preserve">Hợp đồng *</t>
  </si>
  <si>
    <t xml:space="preserve">Chỉ hợp đồng Hiệu lực</t>
  </si>
  <si>
    <t xml:space="preserve">Khách hàng, Các phòng, Ngày bắt đầu</t>
  </si>
  <si>
    <t xml:space="preserve">Tự điền khi chọn hợp đồng</t>
  </si>
  <si>
    <t xml:space="preserve">Thời gian thuê ban đầu, Kết thúc hiện tại</t>
  </si>
  <si>
    <t xml:space="preserve">HopDong.SoThang, NgayKetThuc</t>
  </si>
  <si>
    <t xml:space="preserve">Đã gia hạn, Còn được gia hạn tối đa</t>
  </si>
  <si>
    <t xml:space="preserve">PhieuGiaHan</t>
  </si>
  <si>
    <t xml:space="preserve">Tối đa = ½ thời gian thuê ban đầu − đã gia hạn</t>
  </si>
  <si>
    <t xml:space="preserve">Công nợ hiện tại</t>
  </si>
  <si>
    <t xml:space="preserve">fn_CongNo</t>
  </si>
  <si>
    <t xml:space="preserve">Đỏ nếu &gt; 0, xanh nếu = 0</t>
  </si>
  <si>
    <t xml:space="preserve">Số tháng gia hạn *</t>
  </si>
  <si>
    <t xml:space="preserve">PhieuGiaHan.SoThangGiaHan</t>
  </si>
  <si>
    <t xml:space="preserve">1 - 60</t>
  </si>
  <si>
    <t xml:space="preserve">Ngày lập phiếu</t>
  </si>
  <si>
    <t xml:space="preserve">PhieuGiaHan.NgayLap</t>
  </si>
  <si>
    <t xml:space="preserve">PhieuGiaHan.GhiChu</t>
  </si>
  <si>
    <t xml:space="preserve">Kiểm tra điều kiện</t>
  </si>
  <si>
    <t xml:space="preserve">Hiện kết quả ✔/✘ và lý do</t>
  </si>
  <si>
    <t xml:space="preserve">Xác nhận gia hạn</t>
  </si>
  <si>
    <t xml:space="preserve">Kiểm tra lại + lưu trong Transaction</t>
  </si>
  <si>
    <t xml:space="preserve">Lịch sử phiếu gia hạn</t>
  </si>
  <si>
    <t xml:space="preserve">Có ô tìm kiếm</t>
  </si>
  <si>
    <t xml:space="preserve">8. ThanhToanForm</t>
  </si>
  <si>
    <t xml:space="preserve">Hợp đồng</t>
  </si>
  <si>
    <t xml:space="preserve">Có mục Tất cả hợp đồng</t>
  </si>
  <si>
    <t xml:space="preserve">Trạng thái</t>
  </si>
  <si>
    <t xml:space="preserve">ThanhToan.TrangThai</t>
  </si>
  <si>
    <t xml:space="preserve">Tất cả / Chưa thanh toán / Đã thanh toán</t>
  </si>
  <si>
    <t xml:space="preserve">Từ khóa, Tìm kiếm, Làm mới</t>
  </si>
  <si>
    <t xml:space="preserve">Danh sách kỳ thanh toán</t>
  </si>
  <si>
    <t xml:space="preserve">Kỳ, kỳ thanh toán (Tháng 1-6, Tháng 7...), số tiền, hạn, ngày thanh toán, trạng thái; đỏ nếu đến hạn chưa trả</t>
  </si>
  <si>
    <t xml:space="preserve">Ngày thanh toán</t>
  </si>
  <si>
    <t xml:space="preserve">ThanhToan.NgayThanhToan</t>
  </si>
  <si>
    <t xml:space="preserve">Xác nhận thanh toán</t>
  </si>
  <si>
    <t xml:space="preserve">Phải trả đúng thứ tự kỳ</t>
  </si>
  <si>
    <t xml:space="preserve">Hủy thanh toán</t>
  </si>
  <si>
    <t xml:space="preserve">Chỉ kỳ gần nhất</t>
  </si>
  <si>
    <t xml:space="preserve">Tổng đã thu / chưa thu</t>
  </si>
  <si>
    <t xml:space="preserve">SUM(SoTien)</t>
  </si>
  <si>
    <t xml:space="preserve">9. DichVuForm</t>
  </si>
  <si>
    <t xml:space="preserve">Tab Danh mục dịch vụ</t>
  </si>
  <si>
    <t xml:space="preserve">DichVu</t>
  </si>
  <si>
    <t xml:space="preserve">Form quản lý đầy đủ</t>
  </si>
  <si>
    <t xml:space="preserve">Tab Nhập chỉ số &amp; tính tiền</t>
  </si>
  <si>
    <t xml:space="preserve">Chọn dịch vụ theo chỉ số, nhập chỉ số cũ/mới, hiện thành tiền</t>
  </si>
  <si>
    <t xml:space="preserve">9a. Tab Danh mục dịch vụ</t>
  </si>
  <si>
    <t xml:space="preserve">Tên dịch vụ *</t>
  </si>
  <si>
    <t xml:space="preserve">DichVu.TenDV</t>
  </si>
  <si>
    <t xml:space="preserve">Duy nhất</t>
  </si>
  <si>
    <t xml:space="preserve">Đơn vị tính *</t>
  </si>
  <si>
    <t xml:space="preserve">DichVu.DonVi</t>
  </si>
  <si>
    <t xml:space="preserve">kWh, m3, tháng...</t>
  </si>
  <si>
    <t xml:space="preserve">Đơn giá *</t>
  </si>
  <si>
    <t xml:space="preserve">DichVu.DonGia</t>
  </si>
  <si>
    <t xml:space="preserve">≥ 0</t>
  </si>
  <si>
    <t xml:space="preserve">Cách tính *</t>
  </si>
  <si>
    <t xml:space="preserve">DichVu.LoaiTinh</t>
  </si>
  <si>
    <t xml:space="preserve">Theo chỉ số / Cố định</t>
  </si>
  <si>
    <t xml:space="preserve">10. HoaDonForm</t>
  </si>
  <si>
    <t xml:space="preserve">Hợp đồng *, Tháng, Năm, Ngày lập</t>
  </si>
  <si>
    <t xml:space="preserve">ComboBox, NumericUpDown, DateTimePicker</t>
  </si>
  <si>
    <t xml:space="preserve">HoaDonDichVu</t>
  </si>
  <si>
    <t xml:space="preserve">Nạp dịch vụ</t>
  </si>
  <si>
    <t xml:space="preserve">Chỉ số cũ lấy từ chỉ số mới của kỳ trước</t>
  </si>
  <si>
    <t xml:space="preserve">Bảng dịch vụ</t>
  </si>
  <si>
    <t xml:space="preserve">DataGridView (sửa được)</t>
  </si>
  <si>
    <t xml:space="preserve">ChiTietHoaDon</t>
  </si>
  <si>
    <t xml:space="preserve">Cột Chọn, Chỉ số cũ, Chỉ số mới sửa được; số lượng và thành tiền tự tính</t>
  </si>
  <si>
    <t xml:space="preserve">Tính tiền / Lập hóa đơn / Hủy</t>
  </si>
  <si>
    <t xml:space="preserve">Lập hóa đơn lưu trong Transaction</t>
  </si>
  <si>
    <t xml:space="preserve">Tổng tiền</t>
  </si>
  <si>
    <t xml:space="preserve">HoaDonDichVu.TongTien</t>
  </si>
  <si>
    <t xml:space="preserve">Danh sách hóa đơn + chi tiết</t>
  </si>
  <si>
    <t xml:space="preserve">HoaDonDichVu, ChiTietHoaDon</t>
  </si>
  <si>
    <t xml:space="preserve">Chọn hóa đơn hiện chi tiết bên phải</t>
  </si>
  <si>
    <t xml:space="preserve">Thanh toán / Xóa hóa đơn</t>
  </si>
  <si>
    <t xml:space="preserve">Chỉ xóa hóa đơn chưa thanh toán</t>
  </si>
  <si>
    <t xml:space="preserve">11. NhanVienForm</t>
  </si>
  <si>
    <t xml:space="preserve">Mã nhân viên *</t>
  </si>
  <si>
    <t xml:space="preserve">NhanVien.MaNV</t>
  </si>
  <si>
    <t xml:space="preserve">Duy nhất, không sửa khi cập nhật</t>
  </si>
  <si>
    <t xml:space="preserve">NhanVien.HoTen</t>
  </si>
  <si>
    <t xml:space="preserve">Ngày sinh</t>
  </si>
  <si>
    <t xml:space="preserve">NhanVien.NgaySinh</t>
  </si>
  <si>
    <t xml:space="preserve">Đủ 16 tuổi</t>
  </si>
  <si>
    <t xml:space="preserve">Giới tính *</t>
  </si>
  <si>
    <t xml:space="preserve">NhanVien.GioiTinh</t>
  </si>
  <si>
    <t xml:space="preserve">Nam / Nữ</t>
  </si>
  <si>
    <t xml:space="preserve">CCCD *</t>
  </si>
  <si>
    <t xml:space="preserve">NhanVien.CCCD</t>
  </si>
  <si>
    <t xml:space="preserve">Điện thoại</t>
  </si>
  <si>
    <t xml:space="preserve">NhanVien.SDT</t>
  </si>
  <si>
    <t xml:space="preserve">Công ty *</t>
  </si>
  <si>
    <t xml:space="preserve">NhanVien.MaCT</t>
  </si>
  <si>
    <t xml:space="preserve">Phòng làm việc *</t>
  </si>
  <si>
    <t xml:space="preserve">NhanVien.MaVP</t>
  </si>
  <si>
    <t xml:space="preserve">Phải là phòng công ty đang thuê (kèm tầng trong lưới)</t>
  </si>
  <si>
    <t xml:space="preserve">Chức vụ *</t>
  </si>
  <si>
    <t xml:space="preserve">NhanVien.ChucVu</t>
  </si>
  <si>
    <t xml:space="preserve">NhanVien.TrangThai</t>
  </si>
  <si>
    <t xml:space="preserve">Đang làm / Đã nghỉ</t>
  </si>
  <si>
    <t xml:space="preserve">Hình ảnh</t>
  </si>
  <si>
    <t xml:space="preserve">PictureBox + Button chọn ảnh</t>
  </si>
  <si>
    <t xml:space="preserve">NhanVien.HinhAnh</t>
  </si>
  <si>
    <t xml:space="preserve">Ảnh được chép vào thư mục Images</t>
  </si>
  <si>
    <t xml:space="preserve">12. TheGiuXeForm</t>
  </si>
  <si>
    <t xml:space="preserve">Mã thẻ *</t>
  </si>
  <si>
    <t xml:space="preserve">TheGiuXe.MaThe</t>
  </si>
  <si>
    <t xml:space="preserve">Nhân viên *</t>
  </si>
  <si>
    <t xml:space="preserve">TheGiuXe.MaNV</t>
  </si>
  <si>
    <t xml:space="preserve">Nhân viên đang làm; mỗi người một thẻ</t>
  </si>
  <si>
    <t xml:space="preserve">Ngày cấp</t>
  </si>
  <si>
    <t xml:space="preserve">TheGiuXe.NgayCap</t>
  </si>
  <si>
    <t xml:space="preserve">Trạng thái thẻ *</t>
  </si>
  <si>
    <t xml:space="preserve">TheGiuXe.TrangThai</t>
  </si>
  <si>
    <t xml:space="preserve">Hoạt động / Đã khóa</t>
  </si>
  <si>
    <t xml:space="preserve">Loại xe *</t>
  </si>
  <si>
    <t xml:space="preserve">PhuongTien.LoaiXe</t>
  </si>
  <si>
    <t xml:space="preserve">Xe máy / Ô tô</t>
  </si>
  <si>
    <t xml:space="preserve">Biển số *</t>
  </si>
  <si>
    <t xml:space="preserve">PhuongTien.BienSo</t>
  </si>
  <si>
    <t xml:space="preserve">Hãng xe</t>
  </si>
  <si>
    <t xml:space="preserve">PhuongTien.HangXe</t>
  </si>
  <si>
    <t xml:space="preserve">Màu sắc</t>
  </si>
  <si>
    <t xml:space="preserve">PhuongTien.MauSac</t>
  </si>
  <si>
    <t xml:space="preserve">13. KiemTraForm</t>
  </si>
  <si>
    <t xml:space="preserve">Văn phòng *</t>
  </si>
  <si>
    <t xml:space="preserve">PhieuKiemTra.MaVP</t>
  </si>
  <si>
    <t xml:space="preserve">Ngày kiểm tra</t>
  </si>
  <si>
    <t xml:space="preserve">PhieuKiemTra.NgayKiemTra</t>
  </si>
  <si>
    <t xml:space="preserve">Không ở tương lai</t>
  </si>
  <si>
    <t xml:space="preserve">Người kiểm tra *</t>
  </si>
  <si>
    <t xml:space="preserve">PhieuKiemTra.NguoiKiemTra</t>
  </si>
  <si>
    <t xml:space="preserve">Mặc định là người đăng nhập</t>
  </si>
  <si>
    <t xml:space="preserve">Tình trạng *</t>
  </si>
  <si>
    <t xml:space="preserve">PhieuKiemTra.TinhTrang</t>
  </si>
  <si>
    <t xml:space="preserve">Tốt / Cần sửa chữa / Hư hỏng</t>
  </si>
  <si>
    <t xml:space="preserve">Tự ý thay đổi kết cấu</t>
  </si>
  <si>
    <t xml:space="preserve">PhieuKiemTra.CoViPham</t>
  </si>
  <si>
    <t xml:space="preserve">PhieuKiemTra.GhiChu</t>
  </si>
  <si>
    <t xml:space="preserve">Phòng đến hạn kiểm tra</t>
  </si>
  <si>
    <t xml:space="preserve">Bật/tắt danh sách phòng chưa kiểm tra trong 1 năm</t>
  </si>
  <si>
    <t xml:space="preserve">14. ViPhamForm</t>
  </si>
  <si>
    <t xml:space="preserve">Phiếu kiểm tra *</t>
  </si>
  <si>
    <t xml:space="preserve">ViPham.MaPKT</t>
  </si>
  <si>
    <t xml:space="preserve">Chỉ phiếu có vi phạm</t>
  </si>
  <si>
    <t xml:space="preserve">Ngày lập</t>
  </si>
  <si>
    <t xml:space="preserve">ViPham.NgayLap</t>
  </si>
  <si>
    <t xml:space="preserve">Mức phạt *</t>
  </si>
  <si>
    <t xml:space="preserve">ViPham.MucPhat</t>
  </si>
  <si>
    <t xml:space="preserve">ViPham.TrangThai</t>
  </si>
  <si>
    <t xml:space="preserve">Chưa nộp / Đã nộp</t>
  </si>
  <si>
    <t xml:space="preserve">Nội dung vi phạm *</t>
  </si>
  <si>
    <t xml:space="preserve">ViPham.NoiDung</t>
  </si>
  <si>
    <t xml:space="preserve">Ghi nhận nộp phạt</t>
  </si>
  <si>
    <t xml:space="preserve">ViPham.NgayNop</t>
  </si>
  <si>
    <t xml:space="preserve">Đặt Đã nộp, ngày nộp = hôm nay</t>
  </si>
  <si>
    <t xml:space="preserve">15. ThongKeForm</t>
  </si>
  <si>
    <t xml:space="preserve">Tab Doanh thu theo tháng</t>
  </si>
  <si>
    <t xml:space="preserve">Chart + DataGridView</t>
  </si>
  <si>
    <t xml:space="preserve">ThanhToan, HoaDonDichVu, ViPham</t>
  </si>
  <si>
    <t xml:space="preserve">Cột chồng: tiền thuê, dịch vụ, phạt; chọn năm</t>
  </si>
  <si>
    <t xml:space="preserve">Tab Tình trạng phòng theo tầng</t>
  </si>
  <si>
    <t xml:space="preserve">VanPhong, Tang</t>
  </si>
  <si>
    <t xml:space="preserve">Tổng, đang thuê, trống, bảo trì, tỷ lệ lấp đầy</t>
  </si>
  <si>
    <t xml:space="preserve">Tab Công nợ theo hợp đồng</t>
  </si>
  <si>
    <t xml:space="preserve">Chỉ hợp đồng còn nợ</t>
  </si>
  <si>
    <t xml:space="preserve">Tab Hợp đồng sắp hết hạn</t>
  </si>
  <si>
    <t xml:space="preserve">Nhập số ngày</t>
  </si>
  <si>
    <t xml:space="preserve">TEST CASE</t>
  </si>
  <si>
    <t xml:space="preserve">Dữ liệu mẫu lấy từ QuanLyVanPhong.sql. Cập nhật cột Trạng thái (Đạt / Không đạt / Chưa kiểm thử) khi chạy thử.</t>
  </si>
  <si>
    <t xml:space="preserve">Mã</t>
  </si>
  <si>
    <t xml:space="preserve">Chức năng</t>
  </si>
  <si>
    <t xml:space="preserve">Dữ liệu vào</t>
  </si>
  <si>
    <t xml:space="preserve">Kết quả mong đợi</t>
  </si>
  <si>
    <t xml:space="preserve">TC01</t>
  </si>
  <si>
    <t xml:space="preserve">Đăng nhập đúng</t>
  </si>
  <si>
    <t xml:space="preserve">admin / admin123</t>
  </si>
  <si>
    <t xml:space="preserve">Vào MainForm, hiện "Trần Trung Hậu (Quản trị)"</t>
  </si>
  <si>
    <t xml:space="preserve">Chưa kiểm thử</t>
  </si>
  <si>
    <t xml:space="preserve">TC02</t>
  </si>
  <si>
    <t xml:space="preserve">Sai mật khẩu</t>
  </si>
  <si>
    <t xml:space="preserve">admin / abc</t>
  </si>
  <si>
    <t xml:space="preserve">Báo "Tên đăng nhập hoặc mật khẩu không đúng", xóa ô mật khẩu</t>
  </si>
  <si>
    <t xml:space="preserve">TC03</t>
  </si>
  <si>
    <t xml:space="preserve">Bỏ trống tên đăng nhập</t>
  </si>
  <si>
    <t xml:space="preserve">(trống) / 123</t>
  </si>
  <si>
    <t xml:space="preserve">Báo "Vui lòng nhập tên đăng nhập"</t>
  </si>
  <si>
    <t xml:space="preserve">TC04</t>
  </si>
  <si>
    <t xml:space="preserve">Tầng</t>
  </si>
  <si>
    <t xml:space="preserve">Thêm tầng hợp lệ</t>
  </si>
  <si>
    <t xml:space="preserve">Số tầng 6, tên "Tầng 6"</t>
  </si>
  <si>
    <t xml:space="preserve">Thêm thành công, hiện trong lưới</t>
  </si>
  <si>
    <t xml:space="preserve">TC05</t>
  </si>
  <si>
    <t xml:space="preserve">Thêm trùng số tầng</t>
  </si>
  <si>
    <t xml:space="preserve">Số tầng 1</t>
  </si>
  <si>
    <t xml:space="preserve">Báo lỗi dữ liệu bị trùng</t>
  </si>
  <si>
    <t xml:space="preserve">TC06</t>
  </si>
  <si>
    <t xml:space="preserve">Xóa tầng đã có phòng</t>
  </si>
  <si>
    <t xml:space="preserve">Chọn Tầng 2, Xóa</t>
  </si>
  <si>
    <t xml:space="preserve">Có hộp xác nhận; sau đó báo lỗi ràng buộc, dữ liệu giữ nguyên</t>
  </si>
  <si>
    <t xml:space="preserve">TC07</t>
  </si>
  <si>
    <t xml:space="preserve">Văn phòng</t>
  </si>
  <si>
    <t xml:space="preserve">Thêm phòng hợp lệ</t>
  </si>
  <si>
    <t xml:space="preserve">P601, Tầng 5, 50 m², Đông, 20.000.000, Trống</t>
  </si>
  <si>
    <t xml:space="preserve">Thêm thành công</t>
  </si>
  <si>
    <t xml:space="preserve">TC08</t>
  </si>
  <si>
    <t xml:space="preserve">Diện tích bằng 0</t>
  </si>
  <si>
    <t xml:space="preserve">DienTich = 0</t>
  </si>
  <si>
    <t xml:space="preserve">Báo "Diện tích phải lớn hơn 0"</t>
  </si>
  <si>
    <t xml:space="preserve">TC09</t>
  </si>
  <si>
    <t xml:space="preserve">Đặt trạng thái Đang thuê thủ công</t>
  </si>
  <si>
    <t xml:space="preserve">Chọn Đang thuê khi thêm</t>
  </si>
  <si>
    <t xml:space="preserve">Báo trạng thái do hệ thống tự cập nhật</t>
  </si>
  <si>
    <t xml:space="preserve">TC10</t>
  </si>
  <si>
    <t xml:space="preserve">Xóa phòng đang thuê</t>
  </si>
  <si>
    <t xml:space="preserve">Xóa P201</t>
  </si>
  <si>
    <t xml:space="preserve">Báo "Không thể xóa văn phòng đang được thuê"</t>
  </si>
  <si>
    <t xml:space="preserve">TC11</t>
  </si>
  <si>
    <t xml:space="preserve">CCCD sai định dạng</t>
  </si>
  <si>
    <t xml:space="preserve">CCCD = 12345</t>
  </si>
  <si>
    <t xml:space="preserve">Báo "CCCD/CMND phải gồm 9 hoặc 12 chữ số"</t>
  </si>
  <si>
    <t xml:space="preserve">TC12</t>
  </si>
  <si>
    <t xml:space="preserve">Trùng CCCD</t>
  </si>
  <si>
    <t xml:space="preserve">CCCD 079090001111</t>
  </si>
  <si>
    <t xml:space="preserve">Báo dữ liệu bị trùng</t>
  </si>
  <si>
    <t xml:space="preserve">TC13</t>
  </si>
  <si>
    <t xml:space="preserve">Công ty</t>
  </si>
  <si>
    <t xml:space="preserve">Mã số thuế sai</t>
  </si>
  <si>
    <t xml:space="preserve">MST = 123</t>
  </si>
  <si>
    <t xml:space="preserve">Báo "Mã số thuế gồm 10 hoặc 13 chữ số"</t>
  </si>
  <si>
    <t xml:space="preserve">TC14</t>
  </si>
  <si>
    <t xml:space="preserve">Lập hợp đồng 2 phòng, thu 6 tháng đầu</t>
  </si>
  <si>
    <t xml:space="preserve">KH Đặng Văn Khoa, ký/bắt đầu hôm nay, 6 tháng, tick P101 + P203, chọn thu 6 tháng</t>
  </si>
  <si>
    <t xml:space="preserve">Tạo HD-yyyy-nnn; 2 phòng chuyển Đang thuê; kỳ 1 = 6 × (12.000.000 + 15.000.000) = 162.000.000 đã thanh toán</t>
  </si>
  <si>
    <t xml:space="preserve">TC15</t>
  </si>
  <si>
    <t xml:space="preserve">Thời gian thuê dưới 6 tháng</t>
  </si>
  <si>
    <t xml:space="preserve">Số tháng = 5 (nhập trực tiếp/ép giá trị)</t>
  </si>
  <si>
    <t xml:space="preserve">Bị từ chối "Thời gian thuê tối thiểu là 6 tháng"; ô số tháng không cho nhỏ hơn 6</t>
  </si>
  <si>
    <t xml:space="preserve">TC16</t>
  </si>
  <si>
    <t xml:space="preserve">Không chọn phòng</t>
  </si>
  <si>
    <t xml:space="preserve">Không tick phòng nào, Lưu</t>
  </si>
  <si>
    <t xml:space="preserve">Báo "Vui lòng chọn ít nhất một văn phòng"</t>
  </si>
  <si>
    <t xml:space="preserve">TC17</t>
  </si>
  <si>
    <t xml:space="preserve">Ngày bắt đầu trước ngày ký</t>
  </si>
  <si>
    <t xml:space="preserve">Ký 10/11, bắt đầu 01/11</t>
  </si>
  <si>
    <t xml:space="preserve">Báo "Ngày bắt đầu thuê không được trước ngày ký hợp đồng"</t>
  </si>
  <si>
    <t xml:space="preserve">TC18</t>
  </si>
  <si>
    <t xml:space="preserve">Phòng bị thuê trước khi lưu (2 người dùng)</t>
  </si>
  <si>
    <t xml:space="preserve">Mở 2 máy cùng chọn P302; máy 1 lưu trước</t>
  </si>
  <si>
    <t xml:space="preserve">Máy 2 báo phòng không còn trống, Rollback, không có dữ liệu dở dang</t>
  </si>
  <si>
    <t xml:space="preserve">TC19</t>
  </si>
  <si>
    <t xml:space="preserve">Lịch thanh toán 12 tháng</t>
  </si>
  <si>
    <t xml:space="preserve">Hợp đồng 12 tháng</t>
  </si>
  <si>
    <t xml:space="preserve">Sinh 7 kỳ: kỳ 1 = tháng 1-6; kỳ 2..7 = tháng 7..12, hạn là đầu mỗi tháng thuê</t>
  </si>
  <si>
    <t xml:space="preserve">TC20</t>
  </si>
  <si>
    <t xml:space="preserve">Xóa hợp đồng đã thu tiền</t>
  </si>
  <si>
    <t xml:space="preserve">Xóa HD-2026-001</t>
  </si>
  <si>
    <t xml:space="preserve">Bị từ chối, gợi ý dùng Thanh lý</t>
  </si>
  <si>
    <t xml:space="preserve">TC21</t>
  </si>
  <si>
    <t xml:space="preserve">Thanh lý khi còn nợ</t>
  </si>
  <si>
    <t xml:space="preserve">Thanh lý HD-2026-003</t>
  </si>
  <si>
    <t xml:space="preserve">Báo còn công nợ, không thanh lý</t>
  </si>
  <si>
    <t xml:space="preserve">TC22</t>
  </si>
  <si>
    <t xml:space="preserve">Gia hạn</t>
  </si>
  <si>
    <t xml:space="preserve">Gia hạn hợp lệ</t>
  </si>
  <si>
    <t xml:space="preserve">HD-2026-002 (12 tháng, hết công nợ), 3 tháng</t>
  </si>
  <si>
    <t xml:space="preserve">Đủ điều kiện; tạo phiếu GH-yyyy-nnn; ngày kết thúc mới 31/07/2027; sinh thêm 3 kỳ thanh toán</t>
  </si>
  <si>
    <t xml:space="preserve">TC23</t>
  </si>
  <si>
    <t xml:space="preserve">Gia hạn vượt ½ thời gian thuê</t>
  </si>
  <si>
    <t xml:space="preserve">HD-2026-002, 7 tháng (tối đa 6)</t>
  </si>
  <si>
    <t xml:space="preserve">Từ chối, nêu rõ tối đa 6 tháng</t>
  </si>
  <si>
    <t xml:space="preserve">TC24</t>
  </si>
  <si>
    <t xml:space="preserve">Gia hạn cộng dồn</t>
  </si>
  <si>
    <t xml:space="preserve">Sau khi gia hạn 3 tháng, gia hạn tiếp 4 tháng</t>
  </si>
  <si>
    <t xml:space="preserve">Từ chối: còn được gia hạn 3 tháng</t>
  </si>
  <si>
    <t xml:space="preserve">TC25</t>
  </si>
  <si>
    <t xml:space="preserve">Còn công nợ</t>
  </si>
  <si>
    <t xml:space="preserve">HD-2026-003 (quá hạn tháng 7, 8), 1 tháng</t>
  </si>
  <si>
    <t xml:space="preserve">Từ chối, hiển thị số tiền công nợ</t>
  </si>
  <si>
    <t xml:space="preserve">TC26</t>
  </si>
  <si>
    <t xml:space="preserve">Còn hóa đơn dịch vụ/tiền phạt chưa nộp</t>
  </si>
  <si>
    <t xml:space="preserve">HD-2026-001 (HĐ DV T10 và phạt chưa nộp)</t>
  </si>
  <si>
    <t xml:space="preserve">Từ chối vì còn công nợ; sau khi thanh toán đủ thì gia hạn được</t>
  </si>
  <si>
    <t xml:space="preserve">TC27</t>
  </si>
  <si>
    <t xml:space="preserve">Hợp đồng đã hết hạn</t>
  </si>
  <si>
    <t xml:space="preserve">HD-2025-004</t>
  </si>
  <si>
    <t xml:space="preserve">Không có trong danh sách hợp đồng cho gia hạn</t>
  </si>
  <si>
    <t xml:space="preserve">TC28</t>
  </si>
  <si>
    <t xml:space="preserve">Thanh toán</t>
  </si>
  <si>
    <t xml:space="preserve">Thanh toán đúng thứ tự</t>
  </si>
  <si>
    <t xml:space="preserve">Kỳ chưa trả đầu tiên của HD-2026-003</t>
  </si>
  <si>
    <t xml:space="preserve">Thanh toán thành công, trạng thái Đã thanh toán, có ngày thanh toán</t>
  </si>
  <si>
    <t xml:space="preserve">TC29</t>
  </si>
  <si>
    <t xml:space="preserve">Bỏ qua kỳ trước</t>
  </si>
  <si>
    <t xml:space="preserve">Thanh toán kỳ sau khi kỳ trước còn nợ</t>
  </si>
  <si>
    <t xml:space="preserve">Từ chối, yêu cầu thanh toán các kỳ trước</t>
  </si>
  <si>
    <t xml:space="preserve">TC30</t>
  </si>
  <si>
    <t xml:space="preserve">Hủy thanh toán kỳ không phải gần nhất</t>
  </si>
  <si>
    <t xml:space="preserve">Hủy kỳ có kỳ sau đã trả</t>
  </si>
  <si>
    <t xml:space="preserve">Từ chối</t>
  </si>
  <si>
    <t xml:space="preserve">TC31</t>
  </si>
  <si>
    <t xml:space="preserve">Dịch vụ</t>
  </si>
  <si>
    <t xml:space="preserve">Tính tiền theo chỉ số</t>
  </si>
  <si>
    <t xml:space="preserve">Điện: cũ 1000, mới 1450, đơn giá 3.500</t>
  </si>
  <si>
    <t xml:space="preserve">450 kWh, thành tiền 1.575.000 đ</t>
  </si>
  <si>
    <t xml:space="preserve">TC32</t>
  </si>
  <si>
    <t xml:space="preserve">Chỉ số mới nhỏ hơn cũ</t>
  </si>
  <si>
    <t xml:space="preserve">Cũ 500, mới 400</t>
  </si>
  <si>
    <t xml:space="preserve">Báo "Chỉ số mới phải lớn hơn hoặc bằng chỉ số cũ"</t>
  </si>
  <si>
    <t xml:space="preserve">TC33</t>
  </si>
  <si>
    <t xml:space="preserve">Hóa đơn DV</t>
  </si>
  <si>
    <t xml:space="preserve">Lập hóa đơn tháng mới</t>
  </si>
  <si>
    <t xml:space="preserve">HD-2026-002, tháng 10/2026, điện 0→800, nước 0→20, internet</t>
  </si>
  <si>
    <t xml:space="preserve">Tổng = 2.800.000 + 360.000 + 500.000 = 3.660.000 đ; trạng thái Chưa thanh toán</t>
  </si>
  <si>
    <t xml:space="preserve">TC34</t>
  </si>
  <si>
    <t xml:space="preserve">Lập trùng tháng</t>
  </si>
  <si>
    <t xml:space="preserve">HD-2026-001, tháng 10/2026</t>
  </si>
  <si>
    <t xml:space="preserve">Báo đã có hóa đơn tháng 10/2026</t>
  </si>
  <si>
    <t xml:space="preserve">TC35</t>
  </si>
  <si>
    <t xml:space="preserve">Tháng ngoài hợp đồng</t>
  </si>
  <si>
    <t xml:space="preserve">HD-2026-002, tháng 3/2026</t>
  </si>
  <si>
    <t xml:space="preserve">Báo tháng nằm ngoài thời hạn hợp đồng</t>
  </si>
  <si>
    <t xml:space="preserve">TC36</t>
  </si>
  <si>
    <t xml:space="preserve">Chỉ số cũ tự động</t>
  </si>
  <si>
    <t xml:space="preserve">HD-2026-001, tháng 11/2026</t>
  </si>
  <si>
    <t xml:space="preserve">Chỉ số cũ điện = 1900, nước = 75 (lấy từ kỳ trước)</t>
  </si>
  <si>
    <t xml:space="preserve">TC37</t>
  </si>
  <si>
    <t xml:space="preserve">Xóa hóa đơn đã thanh toán</t>
  </si>
  <si>
    <t xml:space="preserve">Xóa hóa đơn T9/2026</t>
  </si>
  <si>
    <t xml:space="preserve">Bị từ chối</t>
  </si>
  <si>
    <t xml:space="preserve">TC38</t>
  </si>
  <si>
    <t xml:space="preserve">Nhân viên</t>
  </si>
  <si>
    <t xml:space="preserve">Phòng không thuộc công ty</t>
  </si>
  <si>
    <t xml:space="preserve">Công ty Sao Việt, phòng P301</t>
  </si>
  <si>
    <t xml:space="preserve">Từ chối: phòng không phải công ty đang thuê</t>
  </si>
  <si>
    <t xml:space="preserve">TC39</t>
  </si>
  <si>
    <t xml:space="preserve">Thêm nhân viên hợp lệ + ảnh</t>
  </si>
  <si>
    <t xml:space="preserve">NV007, Sao Việt, P201, chọn ảnh</t>
  </si>
  <si>
    <t xml:space="preserve">Thêm thành công, ảnh hiển thị khi chọn lại dòng</t>
  </si>
  <si>
    <t xml:space="preserve">TC40</t>
  </si>
  <si>
    <t xml:space="preserve">Thẻ giữ xe</t>
  </si>
  <si>
    <t xml:space="preserve">Cấp thẻ cho nhân viên đã có thẻ</t>
  </si>
  <si>
    <t xml:space="preserve">NV001</t>
  </si>
  <si>
    <t xml:space="preserve">Báo trùng (mỗi nhân viên một thẻ)</t>
  </si>
  <si>
    <t xml:space="preserve">TC41</t>
  </si>
  <si>
    <t xml:space="preserve">Trùng biển số</t>
  </si>
  <si>
    <t xml:space="preserve">59X1-123.45</t>
  </si>
  <si>
    <t xml:space="preserve">Báo trùng; Rollback cả thẻ lẫn phương tiện</t>
  </si>
  <si>
    <t xml:space="preserve">TC42</t>
  </si>
  <si>
    <t xml:space="preserve">Kiểm tra</t>
  </si>
  <si>
    <t xml:space="preserve">Kiểm tra lần 2 trong năm</t>
  </si>
  <si>
    <t xml:space="preserve">P201 ngày 20/10/2026 (đã kiểm tra 15/03/2026)</t>
  </si>
  <si>
    <t xml:space="preserve">Báo trùng (mỗi phòng 1 lần/năm)</t>
  </si>
  <si>
    <t xml:space="preserve">TC43</t>
  </si>
  <si>
    <t xml:space="preserve">Ngày ở tương lai</t>
  </si>
  <si>
    <t xml:space="preserve">Ngày kiểm tra sau hôm nay</t>
  </si>
  <si>
    <t xml:space="preserve">Báo lỗi</t>
  </si>
  <si>
    <t xml:space="preserve">TC44</t>
  </si>
  <si>
    <t xml:space="preserve">Danh sách phòng đến hạn</t>
  </si>
  <si>
    <t xml:space="preserve">Bấm "Phòng đến hạn kiểm tra"</t>
  </si>
  <si>
    <t xml:space="preserve">Hiện phòng chưa kiểm tra trong 1 năm; Sửa/Xóa bị khóa</t>
  </si>
  <si>
    <t xml:space="preserve">TC45</t>
  </si>
  <si>
    <t xml:space="preserve">Vi phạm</t>
  </si>
  <si>
    <t xml:space="preserve">Phiếu không có vi phạm</t>
  </si>
  <si>
    <t xml:space="preserve">Chọn phiếu có CoViPham = 0</t>
  </si>
  <si>
    <t xml:space="preserve">Không có trong danh sách chọn; nếu ép thì báo lỗi</t>
  </si>
  <si>
    <t xml:space="preserve">TC46</t>
  </si>
  <si>
    <t xml:space="preserve">Nộp phạt</t>
  </si>
  <si>
    <t xml:space="preserve">Biên bản 1 → Ghi nhận nộp phạt</t>
  </si>
  <si>
    <t xml:space="preserve">Trạng thái Đã nộp, công nợ HD-2026-001 giảm 5.000.000</t>
  </si>
  <si>
    <t xml:space="preserve">TC47</t>
  </si>
  <si>
    <t xml:space="preserve">Thống kê</t>
  </si>
  <si>
    <t xml:space="preserve">Doanh thu 2026</t>
  </si>
  <si>
    <t xml:space="preserve">Chọn năm 2026</t>
  </si>
  <si>
    <t xml:space="preserve">Biểu đồ và bảng 12 tháng; tháng không có thu = 0</t>
  </si>
  <si>
    <t xml:space="preserve">TC48</t>
  </si>
  <si>
    <t xml:space="preserve">Công nợ</t>
  </si>
  <si>
    <t xml:space="preserve">Tab công nợ</t>
  </si>
  <si>
    <t xml:space="preserve">Chỉ liệt kê HD-2026-001 và HD-2026-003</t>
  </si>
  <si>
    <t xml:space="preserve">TC49</t>
  </si>
  <si>
    <t xml:space="preserve">Thẻ thống kê</t>
  </si>
  <si>
    <t xml:space="preserve">Mở Tổng quan</t>
  </si>
  <si>
    <t xml:space="preserve">Tổng phòng 14; đang thuê 4; hợp đồng hiệu lực 3; công nợ khớp tab Công nợ</t>
  </si>
  <si>
    <t xml:space="preserve">Tổng số test case</t>
  </si>
  <si>
    <t xml:space="preserve">Đạt</t>
  </si>
  <si>
    <t xml:space="preserve">Không đạt</t>
  </si>
  <si>
    <t xml:space="preserve">Tỷ lệ đạt</t>
  </si>
  <si>
    <t xml:space="preserve">QUY TẮC NGHIỆP VỤ VÀ NƠI KIỂM TRA</t>
  </si>
  <si>
    <t xml:space="preserve">Quy tắc</t>
  </si>
  <si>
    <t xml:space="preserve">Ràng buộc CSDL</t>
  </si>
  <si>
    <t xml:space="preserve">Lớp nghiệp vụ (BLL)</t>
  </si>
  <si>
    <t xml:space="preserve">Giao diện</t>
  </si>
  <si>
    <t xml:space="preserve">Thời gian thuê tối thiểu 6 tháng</t>
  </si>
  <si>
    <t xml:space="preserve">CHECK CK_HopDong_SoThang (SoThang &gt;= 6)</t>
  </si>
  <si>
    <t xml:space="preserve">ContractBll.Create</t>
  </si>
  <si>
    <t xml:space="preserve">NumericUpDown tối thiểu 6</t>
  </si>
  <si>
    <t xml:space="preserve">Thanh toán trước 6 tháng đầu</t>
  </si>
  <si>
    <t xml:space="preserve">sp_PhatSinhLichThanhToan: kỳ 1 = 6 tháng, hạn = ngày ký</t>
  </si>
  <si>
    <t xml:space="preserve">ContractBll.Create (tùy chọn thu ngay khi ký)</t>
  </si>
  <si>
    <t xml:space="preserve">Check "Thu tiền 6 tháng đầu"</t>
  </si>
  <si>
    <t xml:space="preserve">Từ tháng 7 thanh toán đầu mỗi tháng</t>
  </si>
  <si>
    <t xml:space="preserve">sp_PhatSinhLichThanhToan: mỗi tháng một kỳ, hạn = đầu tháng thuê</t>
  </si>
  <si>
    <t xml:space="preserve">ThanhToanBll.Pay (đúng thứ tự kỳ)</t>
  </si>
  <si>
    <t xml:space="preserve">Dịch vụ thanh toán cuối tháng</t>
  </si>
  <si>
    <t xml:space="preserve">HoaDonDichVu UNIQUE (MaHD, Thang, Nam)</t>
  </si>
  <si>
    <t xml:space="preserve">HoaDonBll.Create (tháng nằm trong hợp đồng, không trùng)</t>
  </si>
  <si>
    <t xml:space="preserve">Gia hạn ≤ ½ thời gian thuê ban đầu</t>
  </si>
  <si>
    <t xml:space="preserve">CHECK CK_PGH_Ngay, SoThangGiaHan &gt; 0</t>
  </si>
  <si>
    <t xml:space="preserve">GiaHanBll.Validate (cộng dồn các lần gia hạn)</t>
  </si>
  <si>
    <t xml:space="preserve">Chỉ gia hạn khi không còn công nợ</t>
  </si>
  <si>
    <t xml:space="preserve">fn_CongNo(MaHD)</t>
  </si>
  <si>
    <t xml:space="preserve">GiaHanBll.Validate, kiểm tra lại trong Transaction</t>
  </si>
  <si>
    <t xml:space="preserve">GiaHanForm hiển thị ✔/✘</t>
  </si>
  <si>
    <t xml:space="preserve">Một hợp đồng thuê nhiều văn phòng</t>
  </si>
  <si>
    <t xml:space="preserve">ChiTietHopDong PK (MaHD, MaVP)</t>
  </si>
  <si>
    <t xml:space="preserve">ContractBll.Create (khóa UPDLOCK từng phòng)</t>
  </si>
  <si>
    <t xml:space="preserve">Tick nhiều phòng</t>
  </si>
  <si>
    <t xml:space="preserve">Mỗi nhân viên một thẻ giữ xe</t>
  </si>
  <si>
    <t xml:space="preserve">TheGiuXe.MaNV UNIQUE</t>
  </si>
  <si>
    <t xml:space="preserve">TheXeBll.Insert</t>
  </si>
  <si>
    <t xml:space="preserve">Nhân viên làm tại phòng công ty đang thuê</t>
  </si>
  <si>
    <t xml:space="preserve">FK NhanVien.MaVP, MaCT</t>
  </si>
  <si>
    <t xml:space="preserve">NhanVienBll.Check</t>
  </si>
  <si>
    <t xml:space="preserve">Kiểm tra phòng mỗi năm một lần</t>
  </si>
  <si>
    <t xml:space="preserve">PhieuKiemTra UNIQUE (MaVP, Nam)</t>
  </si>
  <si>
    <t xml:space="preserve">KiemTraBll</t>
  </si>
  <si>
    <t xml:space="preserve">KiemTraForm (danh sách phòng đến hạn)</t>
  </si>
  <si>
    <t xml:space="preserve">Tự ý thay đổi kết cấu bị phạt</t>
  </si>
  <si>
    <t xml:space="preserve">ViPham.MucPhat &gt; 0, FK MaPKT, MaHD</t>
  </si>
  <si>
    <t xml:space="preserve">ViPhamBll.Check (xác định hợp đồng theo ngày kiểm tra)</t>
  </si>
  <si>
    <t xml:space="preserve">Transaction các nghiệp vụ nhiều bảng</t>
  </si>
  <si>
    <t xml:space="preserve">Db.InTransaction: lập hợp đồng, gia hạn, lập hóa đơn, thanh toán, cấp thẻ</t>
  </si>
  <si>
    <t xml:space="preserve">TỪ ĐIỂN DỮ LIỆU (SQL Server)</t>
  </si>
  <si>
    <t xml:space="preserve">Trích từ QuanLyVanPhong.sql; ràng buộc CHECK/UNIQUE nhiều cột xem trong file SQL.</t>
  </si>
  <si>
    <t xml:space="preserve">Bảng</t>
  </si>
  <si>
    <t xml:space="preserve">Cột</t>
  </si>
  <si>
    <t xml:space="preserve">Kiểu dữ liệu</t>
  </si>
  <si>
    <t xml:space="preserve">Ràng buộc</t>
  </si>
  <si>
    <t xml:space="preserve">TaiKhoan</t>
  </si>
  <si>
    <t xml:space="preserve">MaTK</t>
  </si>
  <si>
    <t xml:space="preserve">INT</t>
  </si>
  <si>
    <t xml:space="preserve">PK, IDENTITY</t>
  </si>
  <si>
    <t xml:space="preserve">TenDangNhap</t>
  </si>
  <si>
    <t xml:space="preserve">VARCHAR(30)</t>
  </si>
  <si>
    <t xml:space="preserve">UNIQUE, NOT NULL</t>
  </si>
  <si>
    <t xml:space="preserve">MatKhau</t>
  </si>
  <si>
    <t xml:space="preserve">VARCHAR(64)</t>
  </si>
  <si>
    <t xml:space="preserve">NOT NULL</t>
  </si>
  <si>
    <t xml:space="preserve">HoTen</t>
  </si>
  <si>
    <t xml:space="preserve">NVARCHAR(100)</t>
  </si>
  <si>
    <t xml:space="preserve">VaiTro</t>
  </si>
  <si>
    <t xml:space="preserve">NVARCHAR(20)</t>
  </si>
  <si>
    <t xml:space="preserve">NOT NULL, CHECK VaiTro IN (N'Quản trị', N'Nhân viên')</t>
  </si>
  <si>
    <t xml:space="preserve">HoatDong</t>
  </si>
  <si>
    <t xml:space="preserve">BIT</t>
  </si>
  <si>
    <t xml:space="preserve">Tang</t>
  </si>
  <si>
    <t xml:space="preserve">MaTang</t>
  </si>
  <si>
    <t xml:space="preserve">SoTang</t>
  </si>
  <si>
    <t xml:space="preserve">UNIQUE, NOT NULL, CHECK SoTang &gt;= 1</t>
  </si>
  <si>
    <t xml:space="preserve">TenTang</t>
  </si>
  <si>
    <t xml:space="preserve">NVARCHAR(50)</t>
  </si>
  <si>
    <t xml:space="preserve">MoTa</t>
  </si>
  <si>
    <t xml:space="preserve">NVARCHAR(200)</t>
  </si>
  <si>
    <t xml:space="preserve">VanPhong</t>
  </si>
  <si>
    <t xml:space="preserve">MaVP</t>
  </si>
  <si>
    <t xml:space="preserve">MaPhong</t>
  </si>
  <si>
    <t xml:space="preserve">VARCHAR(10)</t>
  </si>
  <si>
    <t xml:space="preserve">FK → Tang(MaTang), NOT NULL</t>
  </si>
  <si>
    <t xml:space="preserve">DienTich</t>
  </si>
  <si>
    <t xml:space="preserve">DECIMAL(10,2)</t>
  </si>
  <si>
    <t xml:space="preserve">NOT NULL, CHECK DienTich &gt; 0</t>
  </si>
  <si>
    <t xml:space="preserve">Huong</t>
  </si>
  <si>
    <t xml:space="preserve">GiaThue</t>
  </si>
  <si>
    <t xml:space="preserve">DECIMAL(18,0)</t>
  </si>
  <si>
    <t xml:space="preserve">NOT NULL, CHECK GiaThue &gt; 0</t>
  </si>
  <si>
    <t xml:space="preserve">TrangThai</t>
  </si>
  <si>
    <t xml:space="preserve">CongTy</t>
  </si>
  <si>
    <t xml:space="preserve">MaCT</t>
  </si>
  <si>
    <t xml:space="preserve">TenCT</t>
  </si>
  <si>
    <t xml:space="preserve">NVARCHAR(150)</t>
  </si>
  <si>
    <t xml:space="preserve">MaSoThue</t>
  </si>
  <si>
    <t xml:space="preserve">VARCHAR(20)</t>
  </si>
  <si>
    <t xml:space="preserve">DiaChi</t>
  </si>
  <si>
    <t xml:space="preserve">SDT</t>
  </si>
  <si>
    <t xml:space="preserve">VARCHAR(15)</t>
  </si>
  <si>
    <t xml:space="preserve">NguoiDaiDien</t>
  </si>
  <si>
    <t xml:space="preserve">KhachHang</t>
  </si>
  <si>
    <t xml:space="preserve">MaKH</t>
  </si>
  <si>
    <t xml:space="preserve">CCCD</t>
  </si>
  <si>
    <t xml:space="preserve">VARCHAR(12)</t>
  </si>
  <si>
    <t xml:space="preserve">FK → CongTy(MaCT)</t>
  </si>
  <si>
    <t xml:space="preserve">MaHD</t>
  </si>
  <si>
    <t xml:space="preserve">SoHD</t>
  </si>
  <si>
    <t xml:space="preserve">FK → KhachHang(MaKH), NOT NULL</t>
  </si>
  <si>
    <t xml:space="preserve">NgayKy</t>
  </si>
  <si>
    <t xml:space="preserve">DATE</t>
  </si>
  <si>
    <t xml:space="preserve">NgayBatDau</t>
  </si>
  <si>
    <t xml:space="preserve">SoThang</t>
  </si>
  <si>
    <t xml:space="preserve">NOT NULL, CHECK SoThang &gt;= 6</t>
  </si>
  <si>
    <t xml:space="preserve">NgayKetThuc</t>
  </si>
  <si>
    <t xml:space="preserve">GhiChu</t>
  </si>
  <si>
    <t xml:space="preserve">NVARCHAR(300)</t>
  </si>
  <si>
    <t xml:space="preserve">FK → HopDong(MaHD), NOT NULL</t>
  </si>
  <si>
    <t xml:space="preserve">FK → VanPhong(MaVP), NOT NULL</t>
  </si>
  <si>
    <t xml:space="preserve">MaPG</t>
  </si>
  <si>
    <t xml:space="preserve">SoPhieu</t>
  </si>
  <si>
    <t xml:space="preserve">NgayLap</t>
  </si>
  <si>
    <t xml:space="preserve">SoThangGiaHan</t>
  </si>
  <si>
    <t xml:space="preserve">NOT NULL, CHECK SoThangGiaHan &gt; 0</t>
  </si>
  <si>
    <t xml:space="preserve">NgayKetThucCu</t>
  </si>
  <si>
    <t xml:space="preserve">NgayKetThucMoi</t>
  </si>
  <si>
    <t xml:space="preserve">NguoiLap</t>
  </si>
  <si>
    <t xml:space="preserve">ChiTietGiaHan</t>
  </si>
  <si>
    <t xml:space="preserve">FK → PhieuGiaHan(MaPG), NOT NULL</t>
  </si>
  <si>
    <t xml:space="preserve">MaTT</t>
  </si>
  <si>
    <t xml:space="preserve">KyThu</t>
  </si>
  <si>
    <t xml:space="preserve">NOT NULL, CHECK KyThu &gt;= 1</t>
  </si>
  <si>
    <t xml:space="preserve">TuThang</t>
  </si>
  <si>
    <t xml:space="preserve">DenThang</t>
  </si>
  <si>
    <t xml:space="preserve">SoTien</t>
  </si>
  <si>
    <t xml:space="preserve">NOT NULL, CHECK SoTien &gt; 0</t>
  </si>
  <si>
    <t xml:space="preserve">HanThanhToan</t>
  </si>
  <si>
    <t xml:space="preserve">NgayThanhToan</t>
  </si>
  <si>
    <t xml:space="preserve">MaDV</t>
  </si>
  <si>
    <t xml:space="preserve">TenDV</t>
  </si>
  <si>
    <t xml:space="preserve">DonVi</t>
  </si>
  <si>
    <t xml:space="preserve">DonGia</t>
  </si>
  <si>
    <t xml:space="preserve">NOT NULL, CHECK DonGia &gt;= 0</t>
  </si>
  <si>
    <t xml:space="preserve">LoaiTinh</t>
  </si>
  <si>
    <t xml:space="preserve">NOT NULL, CHECK LoaiTinh IN (N'Theo chỉ số', N'Cố định')</t>
  </si>
  <si>
    <t xml:space="preserve">MaHDDV</t>
  </si>
  <si>
    <t xml:space="preserve">Thang</t>
  </si>
  <si>
    <t xml:space="preserve">NOT NULL, CHECK Thang BETWEEN 1 AND 12</t>
  </si>
  <si>
    <t xml:space="preserve">Nam</t>
  </si>
  <si>
    <t xml:space="preserve">NOT NULL, CHECK Nam BETWEEN 2000 AND 2100</t>
  </si>
  <si>
    <t xml:space="preserve">TongTien</t>
  </si>
  <si>
    <t xml:space="preserve">NOT NULL, CHECK TongTien &gt;= 0</t>
  </si>
  <si>
    <t xml:space="preserve">FK → HoaDonDichVu(MaHDDV), NOT NULL</t>
  </si>
  <si>
    <t xml:space="preserve">FK → DichVu(MaDV), NOT NULL</t>
  </si>
  <si>
    <t xml:space="preserve">ChiSoCu</t>
  </si>
  <si>
    <t xml:space="preserve">DECIMAL(12,2)</t>
  </si>
  <si>
    <t xml:space="preserve">ChiSoMoi</t>
  </si>
  <si>
    <t xml:space="preserve">SoLuong</t>
  </si>
  <si>
    <t xml:space="preserve">NOT NULL, CHECK SoLuong &gt;= 0</t>
  </si>
  <si>
    <t xml:space="preserve">ThanhTien</t>
  </si>
  <si>
    <t xml:space="preserve">NOT NULL, CHECK ThanhTien &gt;= 0</t>
  </si>
  <si>
    <t xml:space="preserve">NhanVien</t>
  </si>
  <si>
    <t xml:space="preserve">MaNV</t>
  </si>
  <si>
    <t xml:space="preserve">PK</t>
  </si>
  <si>
    <t xml:space="preserve">NgaySinh</t>
  </si>
  <si>
    <t xml:space="preserve">GioiTinh</t>
  </si>
  <si>
    <t xml:space="preserve">NVARCHAR(5)</t>
  </si>
  <si>
    <t xml:space="preserve">NOT NULL, CHECK GioiTinh IN (N'Nam', N'Nữ')</t>
  </si>
  <si>
    <t xml:space="preserve">FK → CongTy(MaCT), NOT NULL</t>
  </si>
  <si>
    <t xml:space="preserve">ChucVu</t>
  </si>
  <si>
    <t xml:space="preserve">HinhAnh</t>
  </si>
  <si>
    <t xml:space="preserve">NVARCHAR(260)</t>
  </si>
  <si>
    <t xml:space="preserve">TheGiuXe</t>
  </si>
  <si>
    <t xml:space="preserve">MaThe</t>
  </si>
  <si>
    <t xml:space="preserve">UNIQUE, FK → NhanVien(MaNV), NOT NULL</t>
  </si>
  <si>
    <t xml:space="preserve">NgayCap</t>
  </si>
  <si>
    <t xml:space="preserve">PhuongTien</t>
  </si>
  <si>
    <t xml:space="preserve">MaPT</t>
  </si>
  <si>
    <t xml:space="preserve">LoaiXe</t>
  </si>
  <si>
    <t xml:space="preserve">NOT NULL, CHECK LoaiXe IN (N'Xe máy', N'Ô tô')</t>
  </si>
  <si>
    <t xml:space="preserve">BienSo</t>
  </si>
  <si>
    <t xml:space="preserve">HangXe</t>
  </si>
  <si>
    <t xml:space="preserve">MauSac</t>
  </si>
  <si>
    <t xml:space="preserve">NVARCHAR(30)</t>
  </si>
  <si>
    <t xml:space="preserve">PhieuKiemTra</t>
  </si>
  <si>
    <t xml:space="preserve">MaPKT</t>
  </si>
  <si>
    <t xml:space="preserve">NgayKiemTra</t>
  </si>
  <si>
    <t xml:space="preserve">computed (YEAR(NgayKiemTra))</t>
  </si>
  <si>
    <t xml:space="preserve">NguoiKiemTra</t>
  </si>
  <si>
    <t xml:space="preserve">TinhTrang</t>
  </si>
  <si>
    <t xml:space="preserve">NOT NULL, CHECK TinhTrang IN (N'Tốt', N'Cần sửa chữa', N'Hư hỏng')</t>
  </si>
  <si>
    <t xml:space="preserve">CoViPham</t>
  </si>
  <si>
    <t xml:space="preserve">ViPham</t>
  </si>
  <si>
    <t xml:space="preserve">MaVPh</t>
  </si>
  <si>
    <t xml:space="preserve">FK → PhieuKiemTra(MaPKT), NOT NULL</t>
  </si>
  <si>
    <t xml:space="preserve">NoiDung</t>
  </si>
  <si>
    <t xml:space="preserve">MucPhat</t>
  </si>
  <si>
    <t xml:space="preserve">NOT NULL, CHECK MucPhat &gt; 0</t>
  </si>
  <si>
    <t xml:space="preserve">NgayNop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</si>
</sst>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AF2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fgColor rgb="FFEAF2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7C3"/>
      <rgbColor rgb="FF808080"/>
      <rgbColor rgb="FF9999FF"/>
      <rgbColor rgb="FF993366"/>
      <rgbColor rgb="FFFFFFCC"/>
      <rgbColor rgb="FFEAF2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J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24"/>
    <col collapsed="false" customWidth="true" hidden="false" outlineLevel="0" max="6" min="6" style="0" width="30"/>
    <col collapsed="false" customWidth="true" hidden="false" outlineLevel="0" max="8" min="7" style="0" width="40"/>
    <col collapsed="false" customWidth="true" hidden="false" outlineLevel="0" max="9" min="9" style="0" width="28"/>
    <col collapsed="false" customWidth="true" hidden="false" outlineLevel="0" max="10" min="10" style="0" width="18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customFormat="false" ht="46.25" hidden="false" customHeight="false" outlineLevel="0" collapsed="false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</row>
    <row r="5" customFormat="false" ht="35.05" hidden="false" customHeight="false" outlineLevel="0" collapsed="false">
      <c r="A5" s="4" t="s">
        <v>21</v>
      </c>
      <c r="B5" s="4" t="s">
        <v>22</v>
      </c>
      <c r="C5" s="4" t="s">
        <v>23</v>
      </c>
      <c r="D5" s="4" t="s">
        <v>24</v>
      </c>
      <c r="E5" s="4" t="s">
        <v>25</v>
      </c>
      <c r="F5" s="4" t="s">
        <v>26</v>
      </c>
      <c r="G5" s="4" t="s">
        <v>27</v>
      </c>
      <c r="H5" s="4" t="s">
        <v>28</v>
      </c>
      <c r="I5" s="4" t="s">
        <v>29</v>
      </c>
      <c r="J5" s="4" t="s">
        <v>30</v>
      </c>
    </row>
    <row r="6" customFormat="false" ht="35.05" hidden="false" customHeight="false" outlineLevel="0" collapsed="false">
      <c r="A6" s="3" t="s">
        <v>31</v>
      </c>
      <c r="B6" s="3" t="s">
        <v>32</v>
      </c>
      <c r="C6" s="3" t="s">
        <v>23</v>
      </c>
      <c r="D6" s="3" t="s">
        <v>33</v>
      </c>
      <c r="E6" s="3" t="s">
        <v>34</v>
      </c>
      <c r="F6" s="3" t="s">
        <v>35</v>
      </c>
      <c r="G6" s="3" t="s">
        <v>36</v>
      </c>
      <c r="H6" s="3" t="s">
        <v>37</v>
      </c>
      <c r="I6" s="3" t="s">
        <v>38</v>
      </c>
      <c r="J6" s="3" t="s">
        <v>39</v>
      </c>
    </row>
    <row r="7" customFormat="false" ht="23.85" hidden="false" customHeight="false" outlineLevel="0" collapsed="false">
      <c r="A7" s="4" t="s">
        <v>40</v>
      </c>
      <c r="B7" s="4" t="s">
        <v>41</v>
      </c>
      <c r="C7" s="4" t="s">
        <v>23</v>
      </c>
      <c r="D7" s="4" t="s">
        <v>42</v>
      </c>
      <c r="E7" s="4" t="s">
        <v>25</v>
      </c>
      <c r="F7" s="4" t="s">
        <v>43</v>
      </c>
      <c r="G7" s="4" t="s">
        <v>44</v>
      </c>
      <c r="H7" s="4" t="s">
        <v>45</v>
      </c>
      <c r="I7" s="4" t="s">
        <v>46</v>
      </c>
      <c r="J7" s="4" t="s">
        <v>47</v>
      </c>
    </row>
    <row r="8" customFormat="false" ht="23.85" hidden="false" customHeight="false" outlineLevel="0" collapsed="false">
      <c r="A8" s="3" t="s">
        <v>48</v>
      </c>
      <c r="B8" s="3" t="s">
        <v>49</v>
      </c>
      <c r="C8" s="3" t="s">
        <v>50</v>
      </c>
      <c r="D8" s="3" t="s">
        <v>51</v>
      </c>
      <c r="E8" s="3" t="s">
        <v>52</v>
      </c>
      <c r="F8" s="3" t="s">
        <v>53</v>
      </c>
      <c r="G8" s="3" t="s">
        <v>54</v>
      </c>
      <c r="H8" s="3" t="s">
        <v>55</v>
      </c>
      <c r="I8" s="3" t="s">
        <v>56</v>
      </c>
      <c r="J8" s="3" t="s">
        <v>39</v>
      </c>
    </row>
    <row r="9" customFormat="false" ht="57.45" hidden="false" customHeight="false" outlineLevel="0" collapsed="false">
      <c r="A9" s="4" t="s">
        <v>57</v>
      </c>
      <c r="B9" s="4" t="s">
        <v>58</v>
      </c>
      <c r="C9" s="4" t="s">
        <v>59</v>
      </c>
      <c r="D9" s="4" t="s">
        <v>60</v>
      </c>
      <c r="E9" s="4" t="s">
        <v>61</v>
      </c>
      <c r="F9" s="4" t="s">
        <v>62</v>
      </c>
      <c r="G9" s="4" t="s">
        <v>63</v>
      </c>
      <c r="H9" s="4" t="s">
        <v>64</v>
      </c>
      <c r="I9" s="4" t="s">
        <v>65</v>
      </c>
      <c r="J9" s="4" t="s">
        <v>66</v>
      </c>
    </row>
    <row r="10" customFormat="false" ht="46.25" hidden="false" customHeight="false" outlineLevel="0" collapsed="false">
      <c r="A10" s="3" t="s">
        <v>67</v>
      </c>
      <c r="B10" s="3" t="s">
        <v>68</v>
      </c>
      <c r="C10" s="3" t="s">
        <v>59</v>
      </c>
      <c r="D10" s="3" t="s">
        <v>69</v>
      </c>
      <c r="E10" s="3" t="s">
        <v>70</v>
      </c>
      <c r="F10" s="3" t="s">
        <v>71</v>
      </c>
      <c r="G10" s="3" t="s">
        <v>72</v>
      </c>
      <c r="H10" s="3" t="s">
        <v>73</v>
      </c>
      <c r="I10" s="3" t="s">
        <v>74</v>
      </c>
      <c r="J10" s="3" t="s">
        <v>75</v>
      </c>
    </row>
    <row r="11" customFormat="false" ht="35.05" hidden="false" customHeight="false" outlineLevel="0" collapsed="false">
      <c r="A11" s="4" t="s">
        <v>76</v>
      </c>
      <c r="B11" s="4" t="s">
        <v>77</v>
      </c>
      <c r="C11" s="4" t="s">
        <v>78</v>
      </c>
      <c r="D11" s="4" t="s">
        <v>79</v>
      </c>
      <c r="E11" s="4" t="s">
        <v>80</v>
      </c>
      <c r="F11" s="4" t="s">
        <v>81</v>
      </c>
      <c r="G11" s="4" t="s">
        <v>82</v>
      </c>
      <c r="H11" s="4" t="s">
        <v>83</v>
      </c>
      <c r="I11" s="4" t="s">
        <v>84</v>
      </c>
      <c r="J11" s="4" t="s">
        <v>85</v>
      </c>
    </row>
    <row r="12" customFormat="false" ht="35.05" hidden="false" customHeight="false" outlineLevel="0" collapsed="false">
      <c r="A12" s="3" t="s">
        <v>86</v>
      </c>
      <c r="B12" s="3" t="s">
        <v>87</v>
      </c>
      <c r="C12" s="3" t="s">
        <v>23</v>
      </c>
      <c r="D12" s="3" t="s">
        <v>88</v>
      </c>
      <c r="E12" s="3" t="s">
        <v>25</v>
      </c>
      <c r="F12" s="3" t="s">
        <v>89</v>
      </c>
      <c r="G12" s="3" t="s">
        <v>90</v>
      </c>
      <c r="H12" s="3" t="s">
        <v>91</v>
      </c>
      <c r="I12" s="3" t="s">
        <v>92</v>
      </c>
      <c r="J12" s="3" t="s">
        <v>93</v>
      </c>
    </row>
    <row r="13" customFormat="false" ht="57.45" hidden="false" customHeight="false" outlineLevel="0" collapsed="false">
      <c r="A13" s="4" t="s">
        <v>94</v>
      </c>
      <c r="B13" s="4" t="s">
        <v>95</v>
      </c>
      <c r="C13" s="4" t="s">
        <v>23</v>
      </c>
      <c r="D13" s="4" t="s">
        <v>96</v>
      </c>
      <c r="E13" s="4" t="s">
        <v>97</v>
      </c>
      <c r="F13" s="4" t="s">
        <v>98</v>
      </c>
      <c r="G13" s="4" t="s">
        <v>99</v>
      </c>
      <c r="H13" s="4" t="s">
        <v>100</v>
      </c>
      <c r="I13" s="4" t="s">
        <v>101</v>
      </c>
      <c r="J13" s="4" t="s">
        <v>102</v>
      </c>
    </row>
    <row r="14" customFormat="false" ht="35.05" hidden="false" customHeight="false" outlineLevel="0" collapsed="false">
      <c r="A14" s="3" t="s">
        <v>103</v>
      </c>
      <c r="B14" s="3" t="s">
        <v>104</v>
      </c>
      <c r="C14" s="3" t="s">
        <v>105</v>
      </c>
      <c r="D14" s="3" t="s">
        <v>106</v>
      </c>
      <c r="E14" s="3" t="s">
        <v>107</v>
      </c>
      <c r="F14" s="3" t="s">
        <v>108</v>
      </c>
      <c r="G14" s="3" t="s">
        <v>109</v>
      </c>
      <c r="H14" s="3" t="s">
        <v>110</v>
      </c>
      <c r="I14" s="3" t="s">
        <v>111</v>
      </c>
      <c r="J14" s="3" t="s">
        <v>102</v>
      </c>
    </row>
    <row r="15" customFormat="false" ht="35.05" hidden="false" customHeight="false" outlineLevel="0" collapsed="false">
      <c r="A15" s="4" t="s">
        <v>112</v>
      </c>
      <c r="B15" s="4" t="s">
        <v>113</v>
      </c>
      <c r="C15" s="4" t="s">
        <v>114</v>
      </c>
      <c r="D15" s="4" t="s">
        <v>115</v>
      </c>
      <c r="E15" s="4" t="s">
        <v>116</v>
      </c>
      <c r="F15" s="4" t="s">
        <v>117</v>
      </c>
      <c r="G15" s="4" t="s">
        <v>118</v>
      </c>
      <c r="H15" s="4" t="s">
        <v>119</v>
      </c>
      <c r="I15" s="4" t="s">
        <v>120</v>
      </c>
      <c r="J15" s="4" t="s">
        <v>121</v>
      </c>
    </row>
    <row r="16" customFormat="false" ht="35.05" hidden="false" customHeight="false" outlineLevel="0" collapsed="false">
      <c r="A16" s="3" t="s">
        <v>122</v>
      </c>
      <c r="B16" s="3" t="s">
        <v>123</v>
      </c>
      <c r="C16" s="3" t="s">
        <v>23</v>
      </c>
      <c r="D16" s="3" t="s">
        <v>124</v>
      </c>
      <c r="E16" s="3" t="s">
        <v>125</v>
      </c>
      <c r="F16" s="3" t="s">
        <v>126</v>
      </c>
      <c r="G16" s="3" t="s">
        <v>127</v>
      </c>
      <c r="H16" s="3" t="s">
        <v>128</v>
      </c>
      <c r="I16" s="3" t="s">
        <v>129</v>
      </c>
      <c r="J16" s="3" t="s">
        <v>130</v>
      </c>
    </row>
    <row r="17" customFormat="false" ht="35.05" hidden="false" customHeight="false" outlineLevel="0" collapsed="false">
      <c r="A17" s="4" t="s">
        <v>131</v>
      </c>
      <c r="B17" s="4" t="s">
        <v>132</v>
      </c>
      <c r="C17" s="4" t="s">
        <v>133</v>
      </c>
      <c r="D17" s="4" t="s">
        <v>134</v>
      </c>
      <c r="E17" s="4" t="s">
        <v>135</v>
      </c>
      <c r="F17" s="4" t="s">
        <v>136</v>
      </c>
      <c r="G17" s="4" t="s">
        <v>137</v>
      </c>
      <c r="H17" s="4" t="s">
        <v>138</v>
      </c>
      <c r="I17" s="4" t="s">
        <v>139</v>
      </c>
      <c r="J17" s="4" t="s">
        <v>140</v>
      </c>
    </row>
    <row r="18" customFormat="false" ht="46.25" hidden="false" customHeight="false" outlineLevel="0" collapsed="false">
      <c r="A18" s="3" t="s">
        <v>141</v>
      </c>
      <c r="B18" s="3" t="s">
        <v>142</v>
      </c>
      <c r="C18" s="3" t="s">
        <v>143</v>
      </c>
      <c r="D18" s="3" t="s">
        <v>144</v>
      </c>
      <c r="E18" s="3" t="s">
        <v>145</v>
      </c>
      <c r="F18" s="3" t="s">
        <v>146</v>
      </c>
      <c r="G18" s="3" t="s">
        <v>147</v>
      </c>
      <c r="H18" s="3" t="s">
        <v>148</v>
      </c>
      <c r="I18" s="3" t="s">
        <v>149</v>
      </c>
      <c r="J18" s="3" t="s">
        <v>150</v>
      </c>
    </row>
    <row r="19" customFormat="false" ht="35.05" hidden="false" customHeight="false" outlineLevel="0" collapsed="false">
      <c r="A19" s="4" t="s">
        <v>151</v>
      </c>
      <c r="B19" s="4" t="s">
        <v>152</v>
      </c>
      <c r="C19" s="4" t="s">
        <v>153</v>
      </c>
      <c r="D19" s="4" t="s">
        <v>154</v>
      </c>
      <c r="E19" s="4" t="s">
        <v>155</v>
      </c>
      <c r="F19" s="4" t="s">
        <v>156</v>
      </c>
      <c r="G19" s="4" t="s">
        <v>157</v>
      </c>
      <c r="H19" s="4" t="s">
        <v>111</v>
      </c>
      <c r="I19" s="4" t="s">
        <v>158</v>
      </c>
      <c r="J19" s="4" t="s">
        <v>159</v>
      </c>
    </row>
  </sheetData>
  <autoFilter ref="A3:J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E2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32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160</v>
      </c>
    </row>
    <row r="2" customFormat="false" ht="15" hidden="false" customHeight="false" outlineLevel="0" collapsed="false">
      <c r="A2" s="5" t="s">
        <v>161</v>
      </c>
    </row>
    <row r="3" customFormat="false" ht="15" hidden="false" customHeight="false" outlineLevel="0" collapsed="false">
      <c r="A3" s="2" t="s">
        <v>10</v>
      </c>
      <c r="B3" s="2" t="s">
        <v>162</v>
      </c>
      <c r="C3" s="2" t="s">
        <v>163</v>
      </c>
      <c r="D3" s="2" t="s">
        <v>164</v>
      </c>
      <c r="E3" s="2" t="s">
        <v>165</v>
      </c>
    </row>
    <row r="4" customFormat="false" ht="15" hidden="false" customHeight="false" outlineLevel="0" collapsed="false">
      <c r="A4" s="3" t="s">
        <v>166</v>
      </c>
      <c r="B4" s="3" t="s">
        <v>167</v>
      </c>
      <c r="C4" s="3" t="s">
        <v>168</v>
      </c>
      <c r="D4" s="3" t="s">
        <v>169</v>
      </c>
      <c r="E4" s="3" t="s">
        <v>170</v>
      </c>
    </row>
    <row r="5" customFormat="false" ht="15" hidden="false" customHeight="false" outlineLevel="0" collapsed="false">
      <c r="A5" s="4" t="s">
        <v>166</v>
      </c>
      <c r="B5" s="4" t="s">
        <v>171</v>
      </c>
      <c r="C5" s="4" t="s">
        <v>172</v>
      </c>
      <c r="D5" s="4" t="s">
        <v>173</v>
      </c>
      <c r="E5" s="4" t="s">
        <v>174</v>
      </c>
    </row>
    <row r="6" customFormat="false" ht="15" hidden="false" customHeight="false" outlineLevel="0" collapsed="false">
      <c r="A6" s="3" t="s">
        <v>166</v>
      </c>
      <c r="B6" s="3" t="s">
        <v>12</v>
      </c>
      <c r="C6" s="3" t="s">
        <v>175</v>
      </c>
      <c r="D6" s="3" t="s">
        <v>111</v>
      </c>
      <c r="E6" s="3" t="s">
        <v>176</v>
      </c>
    </row>
    <row r="7" customFormat="false" ht="15" hidden="false" customHeight="false" outlineLevel="0" collapsed="false">
      <c r="A7" s="4" t="s">
        <v>166</v>
      </c>
      <c r="B7" s="4" t="s">
        <v>177</v>
      </c>
      <c r="C7" s="4" t="s">
        <v>175</v>
      </c>
      <c r="D7" s="4" t="s">
        <v>111</v>
      </c>
      <c r="E7" s="4" t="s">
        <v>178</v>
      </c>
    </row>
    <row r="8" customFormat="false" ht="15" hidden="false" customHeight="false" outlineLevel="0" collapsed="false">
      <c r="A8" s="3" t="s">
        <v>179</v>
      </c>
      <c r="B8" s="3" t="s">
        <v>180</v>
      </c>
      <c r="C8" s="3" t="s">
        <v>181</v>
      </c>
      <c r="D8" s="3" t="s">
        <v>111</v>
      </c>
      <c r="E8" s="3" t="s">
        <v>182</v>
      </c>
    </row>
    <row r="9" customFormat="false" ht="15" hidden="false" customHeight="false" outlineLevel="0" collapsed="false">
      <c r="A9" s="4" t="s">
        <v>179</v>
      </c>
      <c r="B9" s="4" t="s">
        <v>183</v>
      </c>
      <c r="C9" s="4" t="s">
        <v>184</v>
      </c>
      <c r="D9" s="4" t="s">
        <v>111</v>
      </c>
      <c r="E9" s="4" t="s">
        <v>185</v>
      </c>
    </row>
    <row r="10" customFormat="false" ht="15" hidden="false" customHeight="false" outlineLevel="0" collapsed="false">
      <c r="A10" s="3" t="s">
        <v>179</v>
      </c>
      <c r="B10" s="3" t="s">
        <v>186</v>
      </c>
      <c r="C10" s="3" t="s">
        <v>181</v>
      </c>
      <c r="D10" s="3" t="s">
        <v>111</v>
      </c>
      <c r="E10" s="3" t="s">
        <v>187</v>
      </c>
    </row>
    <row r="11" customFormat="false" ht="15" hidden="false" customHeight="false" outlineLevel="0" collapsed="false">
      <c r="A11" s="4" t="s">
        <v>188</v>
      </c>
      <c r="B11" s="4" t="s">
        <v>189</v>
      </c>
      <c r="C11" s="4" t="s">
        <v>190</v>
      </c>
      <c r="D11" s="4" t="s">
        <v>191</v>
      </c>
      <c r="E11" s="4" t="s">
        <v>111</v>
      </c>
    </row>
    <row r="12" customFormat="false" ht="15" hidden="false" customHeight="false" outlineLevel="0" collapsed="false">
      <c r="A12" s="3" t="s">
        <v>188</v>
      </c>
      <c r="B12" s="3" t="s">
        <v>192</v>
      </c>
      <c r="C12" s="3" t="s">
        <v>190</v>
      </c>
      <c r="D12" s="3" t="s">
        <v>193</v>
      </c>
      <c r="E12" s="3" t="s">
        <v>111</v>
      </c>
    </row>
    <row r="13" customFormat="false" ht="15" hidden="false" customHeight="false" outlineLevel="0" collapsed="false">
      <c r="A13" s="4" t="s">
        <v>188</v>
      </c>
      <c r="B13" s="4" t="s">
        <v>194</v>
      </c>
      <c r="C13" s="4" t="s">
        <v>190</v>
      </c>
      <c r="D13" s="4" t="s">
        <v>195</v>
      </c>
      <c r="E13" s="4" t="s">
        <v>111</v>
      </c>
    </row>
    <row r="14" customFormat="false" ht="15" hidden="false" customHeight="false" outlineLevel="0" collapsed="false">
      <c r="A14" s="3" t="s">
        <v>188</v>
      </c>
      <c r="B14" s="3" t="s">
        <v>196</v>
      </c>
      <c r="C14" s="3" t="s">
        <v>190</v>
      </c>
      <c r="D14" s="3" t="s">
        <v>197</v>
      </c>
      <c r="E14" s="3" t="s">
        <v>111</v>
      </c>
    </row>
    <row r="15" customFormat="false" ht="15" hidden="false" customHeight="false" outlineLevel="0" collapsed="false">
      <c r="A15" s="4" t="s">
        <v>188</v>
      </c>
      <c r="B15" s="4" t="s">
        <v>198</v>
      </c>
      <c r="C15" s="4" t="s">
        <v>190</v>
      </c>
      <c r="D15" s="4" t="s">
        <v>199</v>
      </c>
      <c r="E15" s="4" t="s">
        <v>200</v>
      </c>
    </row>
    <row r="16" customFormat="false" ht="15" hidden="false" customHeight="false" outlineLevel="0" collapsed="false">
      <c r="A16" s="3" t="s">
        <v>188</v>
      </c>
      <c r="B16" s="3" t="s">
        <v>201</v>
      </c>
      <c r="C16" s="3" t="s">
        <v>202</v>
      </c>
      <c r="D16" s="3" t="s">
        <v>203</v>
      </c>
      <c r="E16" s="3" t="s">
        <v>111</v>
      </c>
    </row>
    <row r="17" customFormat="false" ht="15" hidden="false" customHeight="false" outlineLevel="0" collapsed="false">
      <c r="A17" s="4" t="s">
        <v>188</v>
      </c>
      <c r="B17" s="4" t="s">
        <v>204</v>
      </c>
      <c r="C17" s="4" t="s">
        <v>202</v>
      </c>
      <c r="D17" s="4" t="s">
        <v>205</v>
      </c>
      <c r="E17" s="4" t="s">
        <v>206</v>
      </c>
    </row>
    <row r="18" customFormat="false" ht="15" hidden="false" customHeight="false" outlineLevel="0" collapsed="false">
      <c r="A18" s="3" t="s">
        <v>207</v>
      </c>
      <c r="B18" s="3" t="s">
        <v>208</v>
      </c>
      <c r="C18" s="3" t="s">
        <v>209</v>
      </c>
      <c r="D18" s="3" t="s">
        <v>111</v>
      </c>
      <c r="E18" s="3" t="s">
        <v>210</v>
      </c>
    </row>
    <row r="19" customFormat="false" ht="15" hidden="false" customHeight="false" outlineLevel="0" collapsed="false">
      <c r="A19" s="4" t="s">
        <v>207</v>
      </c>
      <c r="B19" s="4" t="s">
        <v>211</v>
      </c>
      <c r="C19" s="4" t="s">
        <v>168</v>
      </c>
      <c r="D19" s="4" t="s">
        <v>111</v>
      </c>
      <c r="E19" s="4" t="s">
        <v>212</v>
      </c>
    </row>
    <row r="20" customFormat="false" ht="15" hidden="false" customHeight="false" outlineLevel="0" collapsed="false">
      <c r="A20" s="3" t="s">
        <v>207</v>
      </c>
      <c r="B20" s="3" t="s">
        <v>213</v>
      </c>
      <c r="C20" s="3" t="s">
        <v>175</v>
      </c>
      <c r="D20" s="3" t="s">
        <v>111</v>
      </c>
      <c r="E20" s="3" t="s">
        <v>214</v>
      </c>
    </row>
    <row r="21" customFormat="false" ht="15" hidden="false" customHeight="false" outlineLevel="0" collapsed="false">
      <c r="A21" s="4" t="s">
        <v>207</v>
      </c>
      <c r="B21" s="4" t="s">
        <v>215</v>
      </c>
      <c r="C21" s="4" t="s">
        <v>175</v>
      </c>
      <c r="D21" s="4" t="s">
        <v>111</v>
      </c>
      <c r="E21" s="4" t="s">
        <v>216</v>
      </c>
    </row>
    <row r="22" customFormat="false" ht="15" hidden="false" customHeight="false" outlineLevel="0" collapsed="false">
      <c r="A22" s="3" t="s">
        <v>207</v>
      </c>
      <c r="B22" s="3" t="s">
        <v>217</v>
      </c>
      <c r="C22" s="3" t="s">
        <v>202</v>
      </c>
      <c r="D22" s="3" t="s">
        <v>111</v>
      </c>
      <c r="E22" s="3" t="s">
        <v>218</v>
      </c>
    </row>
    <row r="23" customFormat="false" ht="15" hidden="false" customHeight="false" outlineLevel="0" collapsed="false">
      <c r="A23" s="4" t="s">
        <v>207</v>
      </c>
      <c r="B23" s="4" t="s">
        <v>219</v>
      </c>
      <c r="C23" s="4" t="s">
        <v>220</v>
      </c>
      <c r="D23" s="4" t="s">
        <v>221</v>
      </c>
      <c r="E23" s="4" t="s">
        <v>222</v>
      </c>
    </row>
    <row r="24" customFormat="false" ht="15" hidden="false" customHeight="false" outlineLevel="0" collapsed="false">
      <c r="A24" s="3" t="s">
        <v>207</v>
      </c>
      <c r="B24" s="3" t="s">
        <v>223</v>
      </c>
      <c r="C24" s="3" t="s">
        <v>168</v>
      </c>
      <c r="D24" s="3" t="s">
        <v>224</v>
      </c>
      <c r="E24" s="3" t="s">
        <v>225</v>
      </c>
    </row>
    <row r="25" customFormat="false" ht="15" hidden="false" customHeight="false" outlineLevel="0" collapsed="false">
      <c r="A25" s="4" t="s">
        <v>207</v>
      </c>
      <c r="B25" s="4" t="s">
        <v>4</v>
      </c>
      <c r="C25" s="4" t="s">
        <v>168</v>
      </c>
      <c r="D25" s="4" t="s">
        <v>226</v>
      </c>
      <c r="E25" s="4" t="s">
        <v>227</v>
      </c>
    </row>
    <row r="26" customFormat="false" ht="15" hidden="false" customHeight="false" outlineLevel="0" collapsed="false">
      <c r="A26" s="3" t="s">
        <v>207</v>
      </c>
      <c r="B26" s="3" t="s">
        <v>228</v>
      </c>
      <c r="C26" s="3" t="s">
        <v>175</v>
      </c>
      <c r="D26" s="3" t="s">
        <v>111</v>
      </c>
      <c r="E26" s="3" t="s">
        <v>229</v>
      </c>
    </row>
    <row r="27" customFormat="false" ht="15" hidden="false" customHeight="false" outlineLevel="0" collapsed="false">
      <c r="A27" s="4" t="s">
        <v>207</v>
      </c>
      <c r="B27" s="4" t="s">
        <v>230</v>
      </c>
      <c r="C27" s="4" t="s">
        <v>175</v>
      </c>
      <c r="D27" s="4" t="s">
        <v>111</v>
      </c>
      <c r="E27" s="4" t="s">
        <v>231</v>
      </c>
    </row>
    <row r="28" customFormat="false" ht="15" hidden="false" customHeight="false" outlineLevel="0" collapsed="false">
      <c r="A28" s="3" t="s">
        <v>207</v>
      </c>
      <c r="B28" s="3" t="s">
        <v>232</v>
      </c>
      <c r="C28" s="3" t="s">
        <v>175</v>
      </c>
      <c r="D28" s="3" t="s">
        <v>111</v>
      </c>
      <c r="E28" s="3" t="s">
        <v>233</v>
      </c>
    </row>
    <row r="29" customFormat="false" ht="15" hidden="false" customHeight="false" outlineLevel="0" collapsed="false">
      <c r="A29" s="4" t="s">
        <v>207</v>
      </c>
      <c r="B29" s="4" t="s">
        <v>234</v>
      </c>
      <c r="C29" s="4" t="s">
        <v>175</v>
      </c>
      <c r="D29" s="4" t="s">
        <v>111</v>
      </c>
      <c r="E29" s="4" t="s">
        <v>235</v>
      </c>
    </row>
    <row r="30" customFormat="false" ht="15" hidden="false" customHeight="false" outlineLevel="0" collapsed="false">
      <c r="A30" s="3" t="s">
        <v>207</v>
      </c>
      <c r="B30" s="3" t="s">
        <v>236</v>
      </c>
      <c r="C30" s="3" t="s">
        <v>175</v>
      </c>
      <c r="D30" s="3" t="s">
        <v>111</v>
      </c>
      <c r="E30" s="3" t="s">
        <v>237</v>
      </c>
    </row>
    <row r="31" customFormat="false" ht="15" hidden="false" customHeight="false" outlineLevel="0" collapsed="false">
      <c r="A31" s="4" t="s">
        <v>238</v>
      </c>
      <c r="B31" s="4" t="s">
        <v>208</v>
      </c>
      <c r="C31" s="4" t="s">
        <v>209</v>
      </c>
      <c r="D31" s="4" t="s">
        <v>111</v>
      </c>
      <c r="E31" s="4" t="s">
        <v>210</v>
      </c>
    </row>
    <row r="32" customFormat="false" ht="15" hidden="false" customHeight="false" outlineLevel="0" collapsed="false">
      <c r="A32" s="3" t="s">
        <v>238</v>
      </c>
      <c r="B32" s="3" t="s">
        <v>211</v>
      </c>
      <c r="C32" s="3" t="s">
        <v>168</v>
      </c>
      <c r="D32" s="3" t="s">
        <v>111</v>
      </c>
      <c r="E32" s="3" t="s">
        <v>212</v>
      </c>
    </row>
    <row r="33" customFormat="false" ht="15" hidden="false" customHeight="false" outlineLevel="0" collapsed="false">
      <c r="A33" s="4" t="s">
        <v>238</v>
      </c>
      <c r="B33" s="4" t="s">
        <v>213</v>
      </c>
      <c r="C33" s="4" t="s">
        <v>175</v>
      </c>
      <c r="D33" s="4" t="s">
        <v>111</v>
      </c>
      <c r="E33" s="4" t="s">
        <v>214</v>
      </c>
    </row>
    <row r="34" customFormat="false" ht="15" hidden="false" customHeight="false" outlineLevel="0" collapsed="false">
      <c r="A34" s="3" t="s">
        <v>238</v>
      </c>
      <c r="B34" s="3" t="s">
        <v>215</v>
      </c>
      <c r="C34" s="3" t="s">
        <v>175</v>
      </c>
      <c r="D34" s="3" t="s">
        <v>111</v>
      </c>
      <c r="E34" s="3" t="s">
        <v>216</v>
      </c>
    </row>
    <row r="35" customFormat="false" ht="15" hidden="false" customHeight="false" outlineLevel="0" collapsed="false">
      <c r="A35" s="4" t="s">
        <v>238</v>
      </c>
      <c r="B35" s="4" t="s">
        <v>217</v>
      </c>
      <c r="C35" s="4" t="s">
        <v>202</v>
      </c>
      <c r="D35" s="4" t="s">
        <v>111</v>
      </c>
      <c r="E35" s="4" t="s">
        <v>218</v>
      </c>
    </row>
    <row r="36" customFormat="false" ht="15" hidden="false" customHeight="false" outlineLevel="0" collapsed="false">
      <c r="A36" s="3" t="s">
        <v>238</v>
      </c>
      <c r="B36" s="3" t="s">
        <v>239</v>
      </c>
      <c r="C36" s="3" t="s">
        <v>168</v>
      </c>
      <c r="D36" s="3" t="s">
        <v>240</v>
      </c>
      <c r="E36" s="3" t="s">
        <v>241</v>
      </c>
    </row>
    <row r="37" customFormat="false" ht="15" hidden="false" customHeight="false" outlineLevel="0" collapsed="false">
      <c r="A37" s="4" t="s">
        <v>238</v>
      </c>
      <c r="B37" s="4" t="s">
        <v>242</v>
      </c>
      <c r="C37" s="4" t="s">
        <v>243</v>
      </c>
      <c r="D37" s="4" t="s">
        <v>244</v>
      </c>
      <c r="E37" s="4" t="s">
        <v>245</v>
      </c>
    </row>
    <row r="38" customFormat="false" ht="15" hidden="false" customHeight="false" outlineLevel="0" collapsed="false">
      <c r="A38" s="3" t="s">
        <v>238</v>
      </c>
      <c r="B38" s="3" t="s">
        <v>246</v>
      </c>
      <c r="C38" s="3" t="s">
        <v>220</v>
      </c>
      <c r="D38" s="3" t="s">
        <v>247</v>
      </c>
      <c r="E38" s="3" t="s">
        <v>248</v>
      </c>
    </row>
    <row r="39" customFormat="false" ht="15" hidden="false" customHeight="false" outlineLevel="0" collapsed="false">
      <c r="A39" s="4" t="s">
        <v>238</v>
      </c>
      <c r="B39" s="4" t="s">
        <v>249</v>
      </c>
      <c r="C39" s="4" t="s">
        <v>243</v>
      </c>
      <c r="D39" s="4" t="s">
        <v>250</v>
      </c>
      <c r="E39" s="4" t="s">
        <v>251</v>
      </c>
    </row>
    <row r="40" customFormat="false" ht="15" hidden="false" customHeight="false" outlineLevel="0" collapsed="false">
      <c r="A40" s="3" t="s">
        <v>238</v>
      </c>
      <c r="B40" s="3" t="s">
        <v>252</v>
      </c>
      <c r="C40" s="3" t="s">
        <v>220</v>
      </c>
      <c r="D40" s="3" t="s">
        <v>253</v>
      </c>
      <c r="E40" s="3" t="s">
        <v>254</v>
      </c>
    </row>
    <row r="41" customFormat="false" ht="15" hidden="false" customHeight="false" outlineLevel="0" collapsed="false">
      <c r="A41" s="4" t="s">
        <v>238</v>
      </c>
      <c r="B41" s="4" t="s">
        <v>255</v>
      </c>
      <c r="C41" s="4" t="s">
        <v>243</v>
      </c>
      <c r="D41" s="4" t="s">
        <v>256</v>
      </c>
      <c r="E41" s="4" t="s">
        <v>257</v>
      </c>
    </row>
    <row r="42" customFormat="false" ht="15" hidden="false" customHeight="false" outlineLevel="0" collapsed="false">
      <c r="A42" s="3" t="s">
        <v>238</v>
      </c>
      <c r="B42" s="3" t="s">
        <v>228</v>
      </c>
      <c r="C42" s="3" t="s">
        <v>175</v>
      </c>
      <c r="D42" s="3" t="s">
        <v>111</v>
      </c>
      <c r="E42" s="3" t="s">
        <v>229</v>
      </c>
    </row>
    <row r="43" customFormat="false" ht="15" hidden="false" customHeight="false" outlineLevel="0" collapsed="false">
      <c r="A43" s="4" t="s">
        <v>238</v>
      </c>
      <c r="B43" s="4" t="s">
        <v>230</v>
      </c>
      <c r="C43" s="4" t="s">
        <v>175</v>
      </c>
      <c r="D43" s="4" t="s">
        <v>111</v>
      </c>
      <c r="E43" s="4" t="s">
        <v>231</v>
      </c>
    </row>
    <row r="44" customFormat="false" ht="15" hidden="false" customHeight="false" outlineLevel="0" collapsed="false">
      <c r="A44" s="3" t="s">
        <v>238</v>
      </c>
      <c r="B44" s="3" t="s">
        <v>232</v>
      </c>
      <c r="C44" s="3" t="s">
        <v>175</v>
      </c>
      <c r="D44" s="3" t="s">
        <v>111</v>
      </c>
      <c r="E44" s="3" t="s">
        <v>233</v>
      </c>
    </row>
    <row r="45" customFormat="false" ht="15" hidden="false" customHeight="false" outlineLevel="0" collapsed="false">
      <c r="A45" s="4" t="s">
        <v>238</v>
      </c>
      <c r="B45" s="4" t="s">
        <v>234</v>
      </c>
      <c r="C45" s="4" t="s">
        <v>175</v>
      </c>
      <c r="D45" s="4" t="s">
        <v>111</v>
      </c>
      <c r="E45" s="4" t="s">
        <v>235</v>
      </c>
    </row>
    <row r="46" customFormat="false" ht="15" hidden="false" customHeight="false" outlineLevel="0" collapsed="false">
      <c r="A46" s="3" t="s">
        <v>238</v>
      </c>
      <c r="B46" s="3" t="s">
        <v>236</v>
      </c>
      <c r="C46" s="3" t="s">
        <v>175</v>
      </c>
      <c r="D46" s="3" t="s">
        <v>111</v>
      </c>
      <c r="E46" s="3" t="s">
        <v>237</v>
      </c>
    </row>
    <row r="47" customFormat="false" ht="15" hidden="false" customHeight="false" outlineLevel="0" collapsed="false">
      <c r="A47" s="4" t="s">
        <v>258</v>
      </c>
      <c r="B47" s="4" t="s">
        <v>259</v>
      </c>
      <c r="C47" s="4" t="s">
        <v>260</v>
      </c>
      <c r="D47" s="4" t="s">
        <v>111</v>
      </c>
      <c r="E47" s="4" t="s">
        <v>261</v>
      </c>
    </row>
    <row r="48" customFormat="false" ht="15" hidden="false" customHeight="false" outlineLevel="0" collapsed="false">
      <c r="A48" s="3" t="s">
        <v>262</v>
      </c>
      <c r="B48" s="3" t="s">
        <v>208</v>
      </c>
      <c r="C48" s="3" t="s">
        <v>209</v>
      </c>
      <c r="D48" s="3" t="s">
        <v>111</v>
      </c>
      <c r="E48" s="3" t="s">
        <v>210</v>
      </c>
    </row>
    <row r="49" customFormat="false" ht="15" hidden="false" customHeight="false" outlineLevel="0" collapsed="false">
      <c r="A49" s="4" t="s">
        <v>262</v>
      </c>
      <c r="B49" s="4" t="s">
        <v>211</v>
      </c>
      <c r="C49" s="4" t="s">
        <v>168</v>
      </c>
      <c r="D49" s="4" t="s">
        <v>111</v>
      </c>
      <c r="E49" s="4" t="s">
        <v>212</v>
      </c>
    </row>
    <row r="50" customFormat="false" ht="15" hidden="false" customHeight="false" outlineLevel="0" collapsed="false">
      <c r="A50" s="3" t="s">
        <v>262</v>
      </c>
      <c r="B50" s="3" t="s">
        <v>213</v>
      </c>
      <c r="C50" s="3" t="s">
        <v>175</v>
      </c>
      <c r="D50" s="3" t="s">
        <v>111</v>
      </c>
      <c r="E50" s="3" t="s">
        <v>214</v>
      </c>
    </row>
    <row r="51" customFormat="false" ht="15" hidden="false" customHeight="false" outlineLevel="0" collapsed="false">
      <c r="A51" s="4" t="s">
        <v>262</v>
      </c>
      <c r="B51" s="4" t="s">
        <v>215</v>
      </c>
      <c r="C51" s="4" t="s">
        <v>175</v>
      </c>
      <c r="D51" s="4" t="s">
        <v>111</v>
      </c>
      <c r="E51" s="4" t="s">
        <v>216</v>
      </c>
    </row>
    <row r="52" customFormat="false" ht="15" hidden="false" customHeight="false" outlineLevel="0" collapsed="false">
      <c r="A52" s="3" t="s">
        <v>262</v>
      </c>
      <c r="B52" s="3" t="s">
        <v>217</v>
      </c>
      <c r="C52" s="3" t="s">
        <v>202</v>
      </c>
      <c r="D52" s="3" t="s">
        <v>111</v>
      </c>
      <c r="E52" s="3" t="s">
        <v>218</v>
      </c>
    </row>
    <row r="53" customFormat="false" ht="15" hidden="false" customHeight="false" outlineLevel="0" collapsed="false">
      <c r="A53" s="4" t="s">
        <v>262</v>
      </c>
      <c r="B53" s="4" t="s">
        <v>263</v>
      </c>
      <c r="C53" s="4" t="s">
        <v>168</v>
      </c>
      <c r="D53" s="4" t="s">
        <v>264</v>
      </c>
      <c r="E53" s="4"/>
    </row>
    <row r="54" customFormat="false" ht="15" hidden="false" customHeight="false" outlineLevel="0" collapsed="false">
      <c r="A54" s="3" t="s">
        <v>262</v>
      </c>
      <c r="B54" s="3" t="s">
        <v>265</v>
      </c>
      <c r="C54" s="3" t="s">
        <v>168</v>
      </c>
      <c r="D54" s="3" t="s">
        <v>266</v>
      </c>
      <c r="E54" s="3" t="s">
        <v>267</v>
      </c>
    </row>
    <row r="55" customFormat="false" ht="15" hidden="false" customHeight="false" outlineLevel="0" collapsed="false">
      <c r="A55" s="4" t="s">
        <v>262</v>
      </c>
      <c r="B55" s="4" t="s">
        <v>268</v>
      </c>
      <c r="C55" s="4" t="s">
        <v>168</v>
      </c>
      <c r="D55" s="4" t="s">
        <v>269</v>
      </c>
      <c r="E55" s="4" t="s">
        <v>270</v>
      </c>
    </row>
    <row r="56" customFormat="false" ht="15" hidden="false" customHeight="false" outlineLevel="0" collapsed="false">
      <c r="A56" s="3" t="s">
        <v>262</v>
      </c>
      <c r="B56" s="3" t="s">
        <v>271</v>
      </c>
      <c r="C56" s="3" t="s">
        <v>168</v>
      </c>
      <c r="D56" s="3" t="s">
        <v>272</v>
      </c>
      <c r="E56" s="3" t="s">
        <v>273</v>
      </c>
    </row>
    <row r="57" customFormat="false" ht="15" hidden="false" customHeight="false" outlineLevel="0" collapsed="false">
      <c r="A57" s="4" t="s">
        <v>262</v>
      </c>
      <c r="B57" s="4" t="s">
        <v>274</v>
      </c>
      <c r="C57" s="4" t="s">
        <v>168</v>
      </c>
      <c r="D57" s="4" t="s">
        <v>275</v>
      </c>
      <c r="E57" s="4"/>
    </row>
    <row r="58" customFormat="false" ht="15" hidden="false" customHeight="false" outlineLevel="0" collapsed="false">
      <c r="A58" s="3" t="s">
        <v>262</v>
      </c>
      <c r="B58" s="3" t="s">
        <v>276</v>
      </c>
      <c r="C58" s="3" t="s">
        <v>168</v>
      </c>
      <c r="D58" s="3" t="s">
        <v>277</v>
      </c>
      <c r="E58" s="3"/>
    </row>
    <row r="59" customFormat="false" ht="15" hidden="false" customHeight="false" outlineLevel="0" collapsed="false">
      <c r="A59" s="4" t="s">
        <v>262</v>
      </c>
      <c r="B59" s="4" t="s">
        <v>228</v>
      </c>
      <c r="C59" s="4" t="s">
        <v>175</v>
      </c>
      <c r="D59" s="4" t="s">
        <v>111</v>
      </c>
      <c r="E59" s="4" t="s">
        <v>229</v>
      </c>
    </row>
    <row r="60" customFormat="false" ht="15" hidden="false" customHeight="false" outlineLevel="0" collapsed="false">
      <c r="A60" s="3" t="s">
        <v>262</v>
      </c>
      <c r="B60" s="3" t="s">
        <v>230</v>
      </c>
      <c r="C60" s="3" t="s">
        <v>175</v>
      </c>
      <c r="D60" s="3" t="s">
        <v>111</v>
      </c>
      <c r="E60" s="3" t="s">
        <v>231</v>
      </c>
    </row>
    <row r="61" customFormat="false" ht="15" hidden="false" customHeight="false" outlineLevel="0" collapsed="false">
      <c r="A61" s="4" t="s">
        <v>262</v>
      </c>
      <c r="B61" s="4" t="s">
        <v>232</v>
      </c>
      <c r="C61" s="4" t="s">
        <v>175</v>
      </c>
      <c r="D61" s="4" t="s">
        <v>111</v>
      </c>
      <c r="E61" s="4" t="s">
        <v>233</v>
      </c>
    </row>
    <row r="62" customFormat="false" ht="15" hidden="false" customHeight="false" outlineLevel="0" collapsed="false">
      <c r="A62" s="3" t="s">
        <v>262</v>
      </c>
      <c r="B62" s="3" t="s">
        <v>234</v>
      </c>
      <c r="C62" s="3" t="s">
        <v>175</v>
      </c>
      <c r="D62" s="3" t="s">
        <v>111</v>
      </c>
      <c r="E62" s="3" t="s">
        <v>235</v>
      </c>
    </row>
    <row r="63" customFormat="false" ht="15" hidden="false" customHeight="false" outlineLevel="0" collapsed="false">
      <c r="A63" s="4" t="s">
        <v>262</v>
      </c>
      <c r="B63" s="4" t="s">
        <v>236</v>
      </c>
      <c r="C63" s="4" t="s">
        <v>175</v>
      </c>
      <c r="D63" s="4" t="s">
        <v>111</v>
      </c>
      <c r="E63" s="4" t="s">
        <v>237</v>
      </c>
    </row>
    <row r="64" customFormat="false" ht="15" hidden="false" customHeight="false" outlineLevel="0" collapsed="false">
      <c r="A64" s="3" t="s">
        <v>278</v>
      </c>
      <c r="B64" s="3" t="s">
        <v>208</v>
      </c>
      <c r="C64" s="3" t="s">
        <v>209</v>
      </c>
      <c r="D64" s="3" t="s">
        <v>111</v>
      </c>
      <c r="E64" s="3" t="s">
        <v>210</v>
      </c>
    </row>
    <row r="65" customFormat="false" ht="15" hidden="false" customHeight="false" outlineLevel="0" collapsed="false">
      <c r="A65" s="4" t="s">
        <v>278</v>
      </c>
      <c r="B65" s="4" t="s">
        <v>211</v>
      </c>
      <c r="C65" s="4" t="s">
        <v>168</v>
      </c>
      <c r="D65" s="4" t="s">
        <v>111</v>
      </c>
      <c r="E65" s="4" t="s">
        <v>212</v>
      </c>
    </row>
    <row r="66" customFormat="false" ht="15" hidden="false" customHeight="false" outlineLevel="0" collapsed="false">
      <c r="A66" s="3" t="s">
        <v>278</v>
      </c>
      <c r="B66" s="3" t="s">
        <v>213</v>
      </c>
      <c r="C66" s="3" t="s">
        <v>175</v>
      </c>
      <c r="D66" s="3" t="s">
        <v>111</v>
      </c>
      <c r="E66" s="3" t="s">
        <v>214</v>
      </c>
    </row>
    <row r="67" customFormat="false" ht="15" hidden="false" customHeight="false" outlineLevel="0" collapsed="false">
      <c r="A67" s="4" t="s">
        <v>278</v>
      </c>
      <c r="B67" s="4" t="s">
        <v>215</v>
      </c>
      <c r="C67" s="4" t="s">
        <v>175</v>
      </c>
      <c r="D67" s="4" t="s">
        <v>111</v>
      </c>
      <c r="E67" s="4" t="s">
        <v>216</v>
      </c>
    </row>
    <row r="68" customFormat="false" ht="15" hidden="false" customHeight="false" outlineLevel="0" collapsed="false">
      <c r="A68" s="3" t="s">
        <v>278</v>
      </c>
      <c r="B68" s="3" t="s">
        <v>217</v>
      </c>
      <c r="C68" s="3" t="s">
        <v>202</v>
      </c>
      <c r="D68" s="3" t="s">
        <v>111</v>
      </c>
      <c r="E68" s="3" t="s">
        <v>218</v>
      </c>
    </row>
    <row r="69" customFormat="false" ht="15" hidden="false" customHeight="false" outlineLevel="0" collapsed="false">
      <c r="A69" s="4" t="s">
        <v>278</v>
      </c>
      <c r="B69" s="4" t="s">
        <v>279</v>
      </c>
      <c r="C69" s="4" t="s">
        <v>168</v>
      </c>
      <c r="D69" s="4" t="s">
        <v>280</v>
      </c>
      <c r="E69" s="4"/>
    </row>
    <row r="70" customFormat="false" ht="15" hidden="false" customHeight="false" outlineLevel="0" collapsed="false">
      <c r="A70" s="3" t="s">
        <v>278</v>
      </c>
      <c r="B70" s="3" t="s">
        <v>281</v>
      </c>
      <c r="C70" s="3" t="s">
        <v>168</v>
      </c>
      <c r="D70" s="3" t="s">
        <v>282</v>
      </c>
      <c r="E70" s="3" t="s">
        <v>283</v>
      </c>
    </row>
    <row r="71" customFormat="false" ht="15" hidden="false" customHeight="false" outlineLevel="0" collapsed="false">
      <c r="A71" s="4" t="s">
        <v>278</v>
      </c>
      <c r="B71" s="4" t="s">
        <v>284</v>
      </c>
      <c r="C71" s="4" t="s">
        <v>168</v>
      </c>
      <c r="D71" s="4" t="s">
        <v>285</v>
      </c>
      <c r="E71" s="4" t="s">
        <v>270</v>
      </c>
    </row>
    <row r="72" customFormat="false" ht="15" hidden="false" customHeight="false" outlineLevel="0" collapsed="false">
      <c r="A72" s="3" t="s">
        <v>278</v>
      </c>
      <c r="B72" s="3" t="s">
        <v>271</v>
      </c>
      <c r="C72" s="3" t="s">
        <v>168</v>
      </c>
      <c r="D72" s="3" t="s">
        <v>286</v>
      </c>
      <c r="E72" s="3"/>
    </row>
    <row r="73" customFormat="false" ht="15" hidden="false" customHeight="false" outlineLevel="0" collapsed="false">
      <c r="A73" s="4" t="s">
        <v>278</v>
      </c>
      <c r="B73" s="4" t="s">
        <v>287</v>
      </c>
      <c r="C73" s="4" t="s">
        <v>243</v>
      </c>
      <c r="D73" s="4" t="s">
        <v>288</v>
      </c>
      <c r="E73" s="4" t="s">
        <v>289</v>
      </c>
    </row>
    <row r="74" customFormat="false" ht="15" hidden="false" customHeight="false" outlineLevel="0" collapsed="false">
      <c r="A74" s="3" t="s">
        <v>278</v>
      </c>
      <c r="B74" s="3" t="s">
        <v>276</v>
      </c>
      <c r="C74" s="3" t="s">
        <v>168</v>
      </c>
      <c r="D74" s="3" t="s">
        <v>290</v>
      </c>
      <c r="E74" s="3"/>
    </row>
    <row r="75" customFormat="false" ht="15" hidden="false" customHeight="false" outlineLevel="0" collapsed="false">
      <c r="A75" s="4" t="s">
        <v>278</v>
      </c>
      <c r="B75" s="4" t="s">
        <v>228</v>
      </c>
      <c r="C75" s="4" t="s">
        <v>175</v>
      </c>
      <c r="D75" s="4" t="s">
        <v>111</v>
      </c>
      <c r="E75" s="4" t="s">
        <v>229</v>
      </c>
    </row>
    <row r="76" customFormat="false" ht="15" hidden="false" customHeight="false" outlineLevel="0" collapsed="false">
      <c r="A76" s="3" t="s">
        <v>278</v>
      </c>
      <c r="B76" s="3" t="s">
        <v>230</v>
      </c>
      <c r="C76" s="3" t="s">
        <v>175</v>
      </c>
      <c r="D76" s="3" t="s">
        <v>111</v>
      </c>
      <c r="E76" s="3" t="s">
        <v>231</v>
      </c>
    </row>
    <row r="77" customFormat="false" ht="15" hidden="false" customHeight="false" outlineLevel="0" collapsed="false">
      <c r="A77" s="4" t="s">
        <v>278</v>
      </c>
      <c r="B77" s="4" t="s">
        <v>232</v>
      </c>
      <c r="C77" s="4" t="s">
        <v>175</v>
      </c>
      <c r="D77" s="4" t="s">
        <v>111</v>
      </c>
      <c r="E77" s="4" t="s">
        <v>233</v>
      </c>
    </row>
    <row r="78" customFormat="false" ht="15" hidden="false" customHeight="false" outlineLevel="0" collapsed="false">
      <c r="A78" s="3" t="s">
        <v>278</v>
      </c>
      <c r="B78" s="3" t="s">
        <v>234</v>
      </c>
      <c r="C78" s="3" t="s">
        <v>175</v>
      </c>
      <c r="D78" s="3" t="s">
        <v>111</v>
      </c>
      <c r="E78" s="3" t="s">
        <v>235</v>
      </c>
    </row>
    <row r="79" customFormat="false" ht="15" hidden="false" customHeight="false" outlineLevel="0" collapsed="false">
      <c r="A79" s="4" t="s">
        <v>278</v>
      </c>
      <c r="B79" s="4" t="s">
        <v>236</v>
      </c>
      <c r="C79" s="4" t="s">
        <v>175</v>
      </c>
      <c r="D79" s="4" t="s">
        <v>111</v>
      </c>
      <c r="E79" s="4" t="s">
        <v>237</v>
      </c>
    </row>
    <row r="80" customFormat="false" ht="15" hidden="false" customHeight="false" outlineLevel="0" collapsed="false">
      <c r="A80" s="3" t="s">
        <v>291</v>
      </c>
      <c r="B80" s="3" t="s">
        <v>292</v>
      </c>
      <c r="C80" s="3" t="s">
        <v>293</v>
      </c>
      <c r="D80" s="3" t="s">
        <v>111</v>
      </c>
      <c r="E80" s="3" t="s">
        <v>294</v>
      </c>
    </row>
    <row r="81" customFormat="false" ht="15" hidden="false" customHeight="false" outlineLevel="0" collapsed="false">
      <c r="A81" s="4" t="s">
        <v>291</v>
      </c>
      <c r="B81" s="4" t="s">
        <v>295</v>
      </c>
      <c r="C81" s="4" t="s">
        <v>202</v>
      </c>
      <c r="D81" s="4" t="s">
        <v>203</v>
      </c>
      <c r="E81" s="4" t="s">
        <v>296</v>
      </c>
    </row>
    <row r="82" customFormat="false" ht="15" hidden="false" customHeight="false" outlineLevel="0" collapsed="false">
      <c r="A82" s="3" t="s">
        <v>291</v>
      </c>
      <c r="B82" s="3" t="s">
        <v>297</v>
      </c>
      <c r="C82" s="3" t="s">
        <v>298</v>
      </c>
      <c r="D82" s="3" t="s">
        <v>299</v>
      </c>
      <c r="E82" s="3" t="s">
        <v>300</v>
      </c>
    </row>
    <row r="83" customFormat="false" ht="15" hidden="false" customHeight="false" outlineLevel="0" collapsed="false">
      <c r="A83" s="4" t="s">
        <v>291</v>
      </c>
      <c r="B83" s="4" t="s">
        <v>301</v>
      </c>
      <c r="C83" s="4" t="s">
        <v>243</v>
      </c>
      <c r="D83" s="4" t="s">
        <v>302</v>
      </c>
      <c r="E83" s="4"/>
    </row>
    <row r="84" customFormat="false" ht="15" hidden="false" customHeight="false" outlineLevel="0" collapsed="false">
      <c r="A84" s="3" t="s">
        <v>291</v>
      </c>
      <c r="B84" s="3" t="s">
        <v>303</v>
      </c>
      <c r="C84" s="3" t="s">
        <v>304</v>
      </c>
      <c r="D84" s="3" t="s">
        <v>305</v>
      </c>
      <c r="E84" s="3"/>
    </row>
    <row r="85" customFormat="false" ht="15" hidden="false" customHeight="false" outlineLevel="0" collapsed="false">
      <c r="A85" s="4" t="s">
        <v>291</v>
      </c>
      <c r="B85" s="4" t="s">
        <v>306</v>
      </c>
      <c r="C85" s="4" t="s">
        <v>304</v>
      </c>
      <c r="D85" s="4" t="s">
        <v>307</v>
      </c>
      <c r="E85" s="4" t="s">
        <v>308</v>
      </c>
    </row>
    <row r="86" customFormat="false" ht="15" hidden="false" customHeight="false" outlineLevel="0" collapsed="false">
      <c r="A86" s="3" t="s">
        <v>291</v>
      </c>
      <c r="B86" s="3" t="s">
        <v>309</v>
      </c>
      <c r="C86" s="3" t="s">
        <v>220</v>
      </c>
      <c r="D86" s="3" t="s">
        <v>310</v>
      </c>
      <c r="E86" s="3" t="s">
        <v>311</v>
      </c>
    </row>
    <row r="87" customFormat="false" ht="15" hidden="false" customHeight="false" outlineLevel="0" collapsed="false">
      <c r="A87" s="4" t="s">
        <v>291</v>
      </c>
      <c r="B87" s="4" t="s">
        <v>312</v>
      </c>
      <c r="C87" s="4" t="s">
        <v>209</v>
      </c>
      <c r="D87" s="4" t="s">
        <v>313</v>
      </c>
      <c r="E87" s="4" t="s">
        <v>314</v>
      </c>
    </row>
    <row r="88" customFormat="false" ht="15" hidden="false" customHeight="false" outlineLevel="0" collapsed="false">
      <c r="A88" s="3" t="s">
        <v>291</v>
      </c>
      <c r="B88" s="3" t="s">
        <v>315</v>
      </c>
      <c r="C88" s="3" t="s">
        <v>209</v>
      </c>
      <c r="D88" s="3" t="s">
        <v>316</v>
      </c>
      <c r="E88" s="3" t="s">
        <v>317</v>
      </c>
    </row>
    <row r="89" customFormat="false" ht="15" hidden="false" customHeight="false" outlineLevel="0" collapsed="false">
      <c r="A89" s="4" t="s">
        <v>291</v>
      </c>
      <c r="B89" s="4" t="s">
        <v>318</v>
      </c>
      <c r="C89" s="4" t="s">
        <v>319</v>
      </c>
      <c r="D89" s="4" t="s">
        <v>320</v>
      </c>
      <c r="E89" s="4" t="s">
        <v>321</v>
      </c>
    </row>
    <row r="90" customFormat="false" ht="15" hidden="false" customHeight="false" outlineLevel="0" collapsed="false">
      <c r="A90" s="3" t="s">
        <v>291</v>
      </c>
      <c r="B90" s="3" t="s">
        <v>322</v>
      </c>
      <c r="C90" s="3" t="s">
        <v>323</v>
      </c>
      <c r="D90" s="3" t="s">
        <v>324</v>
      </c>
      <c r="E90" s="3" t="s">
        <v>325</v>
      </c>
    </row>
    <row r="91" customFormat="false" ht="15" hidden="false" customHeight="false" outlineLevel="0" collapsed="false">
      <c r="A91" s="4" t="s">
        <v>291</v>
      </c>
      <c r="B91" s="4" t="s">
        <v>326</v>
      </c>
      <c r="C91" s="4" t="s">
        <v>168</v>
      </c>
      <c r="D91" s="4" t="s">
        <v>327</v>
      </c>
      <c r="E91" s="4"/>
    </row>
    <row r="92" customFormat="false" ht="15" hidden="false" customHeight="false" outlineLevel="0" collapsed="false">
      <c r="A92" s="3" t="s">
        <v>291</v>
      </c>
      <c r="B92" s="3" t="s">
        <v>328</v>
      </c>
      <c r="C92" s="3" t="s">
        <v>175</v>
      </c>
      <c r="D92" s="3" t="s">
        <v>111</v>
      </c>
      <c r="E92" s="3" t="s">
        <v>329</v>
      </c>
    </row>
    <row r="93" customFormat="false" ht="15" hidden="false" customHeight="false" outlineLevel="0" collapsed="false">
      <c r="A93" s="4" t="s">
        <v>291</v>
      </c>
      <c r="B93" s="4" t="s">
        <v>330</v>
      </c>
      <c r="C93" s="4" t="s">
        <v>175</v>
      </c>
      <c r="D93" s="4" t="s">
        <v>331</v>
      </c>
      <c r="E93" s="4" t="s">
        <v>332</v>
      </c>
    </row>
    <row r="94" customFormat="false" ht="15" hidden="false" customHeight="false" outlineLevel="0" collapsed="false">
      <c r="A94" s="3" t="s">
        <v>333</v>
      </c>
      <c r="B94" s="3" t="s">
        <v>334</v>
      </c>
      <c r="C94" s="3" t="s">
        <v>243</v>
      </c>
      <c r="D94" s="3" t="s">
        <v>203</v>
      </c>
      <c r="E94" s="3" t="s">
        <v>335</v>
      </c>
    </row>
    <row r="95" customFormat="false" ht="15" hidden="false" customHeight="false" outlineLevel="0" collapsed="false">
      <c r="A95" s="4" t="s">
        <v>333</v>
      </c>
      <c r="B95" s="4" t="s">
        <v>336</v>
      </c>
      <c r="C95" s="4" t="s">
        <v>209</v>
      </c>
      <c r="D95" s="4" t="s">
        <v>203</v>
      </c>
      <c r="E95" s="4" t="s">
        <v>337</v>
      </c>
    </row>
    <row r="96" customFormat="false" ht="15" hidden="false" customHeight="false" outlineLevel="0" collapsed="false">
      <c r="A96" s="3" t="s">
        <v>333</v>
      </c>
      <c r="B96" s="3" t="s">
        <v>338</v>
      </c>
      <c r="C96" s="3" t="s">
        <v>209</v>
      </c>
      <c r="D96" s="3" t="s">
        <v>339</v>
      </c>
      <c r="E96" s="3"/>
    </row>
    <row r="97" customFormat="false" ht="15" hidden="false" customHeight="false" outlineLevel="0" collapsed="false">
      <c r="A97" s="4" t="s">
        <v>333</v>
      </c>
      <c r="B97" s="4" t="s">
        <v>340</v>
      </c>
      <c r="C97" s="4" t="s">
        <v>209</v>
      </c>
      <c r="D97" s="4" t="s">
        <v>341</v>
      </c>
      <c r="E97" s="4" t="s">
        <v>342</v>
      </c>
    </row>
    <row r="98" customFormat="false" ht="15" hidden="false" customHeight="false" outlineLevel="0" collapsed="false">
      <c r="A98" s="3" t="s">
        <v>333</v>
      </c>
      <c r="B98" s="3" t="s">
        <v>343</v>
      </c>
      <c r="C98" s="3" t="s">
        <v>209</v>
      </c>
      <c r="D98" s="3" t="s">
        <v>344</v>
      </c>
      <c r="E98" s="3" t="s">
        <v>345</v>
      </c>
    </row>
    <row r="99" customFormat="false" ht="15" hidden="false" customHeight="false" outlineLevel="0" collapsed="false">
      <c r="A99" s="4" t="s">
        <v>333</v>
      </c>
      <c r="B99" s="4" t="s">
        <v>346</v>
      </c>
      <c r="C99" s="4" t="s">
        <v>220</v>
      </c>
      <c r="D99" s="4" t="s">
        <v>347</v>
      </c>
      <c r="E99" s="4" t="s">
        <v>348</v>
      </c>
    </row>
    <row r="100" customFormat="false" ht="15" hidden="false" customHeight="false" outlineLevel="0" collapsed="false">
      <c r="A100" s="3" t="s">
        <v>333</v>
      </c>
      <c r="B100" s="3" t="s">
        <v>349</v>
      </c>
      <c r="C100" s="3" t="s">
        <v>304</v>
      </c>
      <c r="D100" s="3" t="s">
        <v>350</v>
      </c>
      <c r="E100" s="3"/>
    </row>
    <row r="101" customFormat="false" ht="15" hidden="false" customHeight="false" outlineLevel="0" collapsed="false">
      <c r="A101" s="4" t="s">
        <v>333</v>
      </c>
      <c r="B101" s="4" t="s">
        <v>326</v>
      </c>
      <c r="C101" s="4" t="s">
        <v>168</v>
      </c>
      <c r="D101" s="4" t="s">
        <v>351</v>
      </c>
      <c r="E101" s="4"/>
    </row>
    <row r="102" customFormat="false" ht="15" hidden="false" customHeight="false" outlineLevel="0" collapsed="false">
      <c r="A102" s="3" t="s">
        <v>333</v>
      </c>
      <c r="B102" s="3" t="s">
        <v>352</v>
      </c>
      <c r="C102" s="3" t="s">
        <v>175</v>
      </c>
      <c r="D102" s="3" t="s">
        <v>111</v>
      </c>
      <c r="E102" s="3" t="s">
        <v>353</v>
      </c>
    </row>
    <row r="103" customFormat="false" ht="15" hidden="false" customHeight="false" outlineLevel="0" collapsed="false">
      <c r="A103" s="4" t="s">
        <v>333</v>
      </c>
      <c r="B103" s="4" t="s">
        <v>354</v>
      </c>
      <c r="C103" s="4" t="s">
        <v>175</v>
      </c>
      <c r="D103" s="4" t="s">
        <v>111</v>
      </c>
      <c r="E103" s="4" t="s">
        <v>355</v>
      </c>
    </row>
    <row r="104" customFormat="false" ht="15" hidden="false" customHeight="false" outlineLevel="0" collapsed="false">
      <c r="A104" s="3" t="s">
        <v>333</v>
      </c>
      <c r="B104" s="3" t="s">
        <v>356</v>
      </c>
      <c r="C104" s="3" t="s">
        <v>202</v>
      </c>
      <c r="D104" s="3" t="s">
        <v>341</v>
      </c>
      <c r="E104" s="3" t="s">
        <v>357</v>
      </c>
    </row>
    <row r="105" customFormat="false" ht="15" hidden="false" customHeight="false" outlineLevel="0" collapsed="false">
      <c r="A105" s="4" t="s">
        <v>358</v>
      </c>
      <c r="B105" s="4" t="s">
        <v>359</v>
      </c>
      <c r="C105" s="4" t="s">
        <v>243</v>
      </c>
      <c r="D105" s="4" t="s">
        <v>203</v>
      </c>
      <c r="E105" s="4" t="s">
        <v>360</v>
      </c>
    </row>
    <row r="106" customFormat="false" ht="15" hidden="false" customHeight="false" outlineLevel="0" collapsed="false">
      <c r="A106" s="3" t="s">
        <v>358</v>
      </c>
      <c r="B106" s="3" t="s">
        <v>361</v>
      </c>
      <c r="C106" s="3" t="s">
        <v>243</v>
      </c>
      <c r="D106" s="3" t="s">
        <v>362</v>
      </c>
      <c r="E106" s="3" t="s">
        <v>363</v>
      </c>
    </row>
    <row r="107" customFormat="false" ht="15" hidden="false" customHeight="false" outlineLevel="0" collapsed="false">
      <c r="A107" s="4" t="s">
        <v>358</v>
      </c>
      <c r="B107" s="4" t="s">
        <v>364</v>
      </c>
      <c r="C107" s="4" t="s">
        <v>293</v>
      </c>
      <c r="D107" s="4" t="s">
        <v>111</v>
      </c>
      <c r="E107" s="4"/>
    </row>
    <row r="108" customFormat="false" ht="23.85" hidden="false" customHeight="false" outlineLevel="0" collapsed="false">
      <c r="A108" s="3" t="s">
        <v>358</v>
      </c>
      <c r="B108" s="3" t="s">
        <v>365</v>
      </c>
      <c r="C108" s="3" t="s">
        <v>202</v>
      </c>
      <c r="D108" s="3" t="s">
        <v>205</v>
      </c>
      <c r="E108" s="3" t="s">
        <v>366</v>
      </c>
    </row>
    <row r="109" customFormat="false" ht="15" hidden="false" customHeight="false" outlineLevel="0" collapsed="false">
      <c r="A109" s="4" t="s">
        <v>358</v>
      </c>
      <c r="B109" s="4" t="s">
        <v>367</v>
      </c>
      <c r="C109" s="4" t="s">
        <v>304</v>
      </c>
      <c r="D109" s="4" t="s">
        <v>368</v>
      </c>
      <c r="E109" s="4"/>
    </row>
    <row r="110" customFormat="false" ht="15" hidden="false" customHeight="false" outlineLevel="0" collapsed="false">
      <c r="A110" s="3" t="s">
        <v>358</v>
      </c>
      <c r="B110" s="3" t="s">
        <v>369</v>
      </c>
      <c r="C110" s="3" t="s">
        <v>175</v>
      </c>
      <c r="D110" s="3" t="s">
        <v>111</v>
      </c>
      <c r="E110" s="3" t="s">
        <v>370</v>
      </c>
    </row>
    <row r="111" customFormat="false" ht="15" hidden="false" customHeight="false" outlineLevel="0" collapsed="false">
      <c r="A111" s="4" t="s">
        <v>358</v>
      </c>
      <c r="B111" s="4" t="s">
        <v>371</v>
      </c>
      <c r="C111" s="4" t="s">
        <v>175</v>
      </c>
      <c r="D111" s="4" t="s">
        <v>111</v>
      </c>
      <c r="E111" s="4" t="s">
        <v>372</v>
      </c>
    </row>
    <row r="112" customFormat="false" ht="15" hidden="false" customHeight="false" outlineLevel="0" collapsed="false">
      <c r="A112" s="3" t="s">
        <v>358</v>
      </c>
      <c r="B112" s="3" t="s">
        <v>373</v>
      </c>
      <c r="C112" s="3" t="s">
        <v>209</v>
      </c>
      <c r="D112" s="3" t="s">
        <v>374</v>
      </c>
      <c r="E112" s="3"/>
    </row>
    <row r="113" customFormat="false" ht="15" hidden="false" customHeight="false" outlineLevel="0" collapsed="false">
      <c r="A113" s="4" t="s">
        <v>375</v>
      </c>
      <c r="B113" s="4" t="s">
        <v>376</v>
      </c>
      <c r="C113" s="4" t="s">
        <v>260</v>
      </c>
      <c r="D113" s="4" t="s">
        <v>377</v>
      </c>
      <c r="E113" s="4" t="s">
        <v>378</v>
      </c>
    </row>
    <row r="114" customFormat="false" ht="15" hidden="false" customHeight="false" outlineLevel="0" collapsed="false">
      <c r="A114" s="3" t="s">
        <v>375</v>
      </c>
      <c r="B114" s="3" t="s">
        <v>379</v>
      </c>
      <c r="C114" s="3" t="s">
        <v>260</v>
      </c>
      <c r="D114" s="3" t="s">
        <v>111</v>
      </c>
      <c r="E114" s="3" t="s">
        <v>380</v>
      </c>
    </row>
    <row r="115" customFormat="false" ht="15" hidden="false" customHeight="false" outlineLevel="0" collapsed="false">
      <c r="A115" s="4" t="s">
        <v>381</v>
      </c>
      <c r="B115" s="4" t="s">
        <v>208</v>
      </c>
      <c r="C115" s="4" t="s">
        <v>209</v>
      </c>
      <c r="D115" s="4" t="s">
        <v>111</v>
      </c>
      <c r="E115" s="4" t="s">
        <v>210</v>
      </c>
    </row>
    <row r="116" customFormat="false" ht="15" hidden="false" customHeight="false" outlineLevel="0" collapsed="false">
      <c r="A116" s="3" t="s">
        <v>381</v>
      </c>
      <c r="B116" s="3" t="s">
        <v>211</v>
      </c>
      <c r="C116" s="3" t="s">
        <v>168</v>
      </c>
      <c r="D116" s="3" t="s">
        <v>111</v>
      </c>
      <c r="E116" s="3" t="s">
        <v>212</v>
      </c>
    </row>
    <row r="117" customFormat="false" ht="15" hidden="false" customHeight="false" outlineLevel="0" collapsed="false">
      <c r="A117" s="4" t="s">
        <v>381</v>
      </c>
      <c r="B117" s="4" t="s">
        <v>213</v>
      </c>
      <c r="C117" s="4" t="s">
        <v>175</v>
      </c>
      <c r="D117" s="4" t="s">
        <v>111</v>
      </c>
      <c r="E117" s="4" t="s">
        <v>214</v>
      </c>
    </row>
    <row r="118" customFormat="false" ht="15" hidden="false" customHeight="false" outlineLevel="0" collapsed="false">
      <c r="A118" s="3" t="s">
        <v>381</v>
      </c>
      <c r="B118" s="3" t="s">
        <v>215</v>
      </c>
      <c r="C118" s="3" t="s">
        <v>175</v>
      </c>
      <c r="D118" s="3" t="s">
        <v>111</v>
      </c>
      <c r="E118" s="3" t="s">
        <v>216</v>
      </c>
    </row>
    <row r="119" customFormat="false" ht="15" hidden="false" customHeight="false" outlineLevel="0" collapsed="false">
      <c r="A119" s="4" t="s">
        <v>381</v>
      </c>
      <c r="B119" s="4" t="s">
        <v>217</v>
      </c>
      <c r="C119" s="4" t="s">
        <v>202</v>
      </c>
      <c r="D119" s="4" t="s">
        <v>111</v>
      </c>
      <c r="E119" s="4" t="s">
        <v>218</v>
      </c>
    </row>
    <row r="120" customFormat="false" ht="15" hidden="false" customHeight="false" outlineLevel="0" collapsed="false">
      <c r="A120" s="3" t="s">
        <v>381</v>
      </c>
      <c r="B120" s="3" t="s">
        <v>382</v>
      </c>
      <c r="C120" s="3" t="s">
        <v>168</v>
      </c>
      <c r="D120" s="3" t="s">
        <v>383</v>
      </c>
      <c r="E120" s="3" t="s">
        <v>384</v>
      </c>
    </row>
    <row r="121" customFormat="false" ht="15" hidden="false" customHeight="false" outlineLevel="0" collapsed="false">
      <c r="A121" s="4" t="s">
        <v>381</v>
      </c>
      <c r="B121" s="4" t="s">
        <v>385</v>
      </c>
      <c r="C121" s="4" t="s">
        <v>168</v>
      </c>
      <c r="D121" s="4" t="s">
        <v>386</v>
      </c>
      <c r="E121" s="4" t="s">
        <v>387</v>
      </c>
    </row>
    <row r="122" customFormat="false" ht="15" hidden="false" customHeight="false" outlineLevel="0" collapsed="false">
      <c r="A122" s="3" t="s">
        <v>381</v>
      </c>
      <c r="B122" s="3" t="s">
        <v>388</v>
      </c>
      <c r="C122" s="3" t="s">
        <v>220</v>
      </c>
      <c r="D122" s="3" t="s">
        <v>389</v>
      </c>
      <c r="E122" s="3" t="s">
        <v>390</v>
      </c>
    </row>
    <row r="123" customFormat="false" ht="15" hidden="false" customHeight="false" outlineLevel="0" collapsed="false">
      <c r="A123" s="4" t="s">
        <v>381</v>
      </c>
      <c r="B123" s="4" t="s">
        <v>391</v>
      </c>
      <c r="C123" s="4" t="s">
        <v>243</v>
      </c>
      <c r="D123" s="4" t="s">
        <v>392</v>
      </c>
      <c r="E123" s="4" t="s">
        <v>393</v>
      </c>
    </row>
    <row r="124" customFormat="false" ht="15" hidden="false" customHeight="false" outlineLevel="0" collapsed="false">
      <c r="A124" s="3" t="s">
        <v>381</v>
      </c>
      <c r="B124" s="3" t="s">
        <v>228</v>
      </c>
      <c r="C124" s="3" t="s">
        <v>175</v>
      </c>
      <c r="D124" s="3" t="s">
        <v>111</v>
      </c>
      <c r="E124" s="3" t="s">
        <v>229</v>
      </c>
    </row>
    <row r="125" customFormat="false" ht="15" hidden="false" customHeight="false" outlineLevel="0" collapsed="false">
      <c r="A125" s="4" t="s">
        <v>381</v>
      </c>
      <c r="B125" s="4" t="s">
        <v>230</v>
      </c>
      <c r="C125" s="4" t="s">
        <v>175</v>
      </c>
      <c r="D125" s="4" t="s">
        <v>111</v>
      </c>
      <c r="E125" s="4" t="s">
        <v>231</v>
      </c>
    </row>
    <row r="126" customFormat="false" ht="15" hidden="false" customHeight="false" outlineLevel="0" collapsed="false">
      <c r="A126" s="3" t="s">
        <v>381</v>
      </c>
      <c r="B126" s="3" t="s">
        <v>232</v>
      </c>
      <c r="C126" s="3" t="s">
        <v>175</v>
      </c>
      <c r="D126" s="3" t="s">
        <v>111</v>
      </c>
      <c r="E126" s="3" t="s">
        <v>233</v>
      </c>
    </row>
    <row r="127" customFormat="false" ht="15" hidden="false" customHeight="false" outlineLevel="0" collapsed="false">
      <c r="A127" s="4" t="s">
        <v>381</v>
      </c>
      <c r="B127" s="4" t="s">
        <v>234</v>
      </c>
      <c r="C127" s="4" t="s">
        <v>175</v>
      </c>
      <c r="D127" s="4" t="s">
        <v>111</v>
      </c>
      <c r="E127" s="4" t="s">
        <v>235</v>
      </c>
    </row>
    <row r="128" customFormat="false" ht="15" hidden="false" customHeight="false" outlineLevel="0" collapsed="false">
      <c r="A128" s="3" t="s">
        <v>381</v>
      </c>
      <c r="B128" s="3" t="s">
        <v>236</v>
      </c>
      <c r="C128" s="3" t="s">
        <v>175</v>
      </c>
      <c r="D128" s="3" t="s">
        <v>111</v>
      </c>
      <c r="E128" s="3" t="s">
        <v>237</v>
      </c>
    </row>
    <row r="129" customFormat="false" ht="23.85" hidden="false" customHeight="false" outlineLevel="0" collapsed="false">
      <c r="A129" s="4" t="s">
        <v>394</v>
      </c>
      <c r="B129" s="4" t="s">
        <v>395</v>
      </c>
      <c r="C129" s="4" t="s">
        <v>396</v>
      </c>
      <c r="D129" s="4" t="s">
        <v>397</v>
      </c>
      <c r="E129" s="4"/>
    </row>
    <row r="130" customFormat="false" ht="15" hidden="false" customHeight="false" outlineLevel="0" collapsed="false">
      <c r="A130" s="3" t="s">
        <v>394</v>
      </c>
      <c r="B130" s="3" t="s">
        <v>398</v>
      </c>
      <c r="C130" s="3" t="s">
        <v>175</v>
      </c>
      <c r="D130" s="3" t="s">
        <v>377</v>
      </c>
      <c r="E130" s="3" t="s">
        <v>399</v>
      </c>
    </row>
    <row r="131" customFormat="false" ht="15" hidden="false" customHeight="false" outlineLevel="0" collapsed="false">
      <c r="A131" s="4" t="s">
        <v>394</v>
      </c>
      <c r="B131" s="4" t="s">
        <v>400</v>
      </c>
      <c r="C131" s="4" t="s">
        <v>401</v>
      </c>
      <c r="D131" s="4" t="s">
        <v>402</v>
      </c>
      <c r="E131" s="4" t="s">
        <v>403</v>
      </c>
    </row>
    <row r="132" customFormat="false" ht="15" hidden="false" customHeight="false" outlineLevel="0" collapsed="false">
      <c r="A132" s="3" t="s">
        <v>394</v>
      </c>
      <c r="B132" s="3" t="s">
        <v>404</v>
      </c>
      <c r="C132" s="3" t="s">
        <v>175</v>
      </c>
      <c r="D132" s="3" t="s">
        <v>111</v>
      </c>
      <c r="E132" s="3" t="s">
        <v>405</v>
      </c>
    </row>
    <row r="133" customFormat="false" ht="15" hidden="false" customHeight="false" outlineLevel="0" collapsed="false">
      <c r="A133" s="4" t="s">
        <v>394</v>
      </c>
      <c r="B133" s="4" t="s">
        <v>406</v>
      </c>
      <c r="C133" s="4" t="s">
        <v>209</v>
      </c>
      <c r="D133" s="4" t="s">
        <v>407</v>
      </c>
      <c r="E133" s="4"/>
    </row>
    <row r="134" customFormat="false" ht="15" hidden="false" customHeight="false" outlineLevel="0" collapsed="false">
      <c r="A134" s="3" t="s">
        <v>394</v>
      </c>
      <c r="B134" s="3" t="s">
        <v>408</v>
      </c>
      <c r="C134" s="3" t="s">
        <v>202</v>
      </c>
      <c r="D134" s="3" t="s">
        <v>409</v>
      </c>
      <c r="E134" s="3" t="s">
        <v>410</v>
      </c>
    </row>
    <row r="135" customFormat="false" ht="15" hidden="false" customHeight="false" outlineLevel="0" collapsed="false">
      <c r="A135" s="4" t="s">
        <v>394</v>
      </c>
      <c r="B135" s="4" t="s">
        <v>411</v>
      </c>
      <c r="C135" s="4" t="s">
        <v>175</v>
      </c>
      <c r="D135" s="4" t="s">
        <v>111</v>
      </c>
      <c r="E135" s="4" t="s">
        <v>412</v>
      </c>
    </row>
    <row r="136" customFormat="false" ht="15" hidden="false" customHeight="false" outlineLevel="0" collapsed="false">
      <c r="A136" s="3" t="s">
        <v>413</v>
      </c>
      <c r="B136" s="3" t="s">
        <v>208</v>
      </c>
      <c r="C136" s="3" t="s">
        <v>209</v>
      </c>
      <c r="D136" s="3" t="s">
        <v>111</v>
      </c>
      <c r="E136" s="3" t="s">
        <v>210</v>
      </c>
    </row>
    <row r="137" customFormat="false" ht="15" hidden="false" customHeight="false" outlineLevel="0" collapsed="false">
      <c r="A137" s="4" t="s">
        <v>413</v>
      </c>
      <c r="B137" s="4" t="s">
        <v>211</v>
      </c>
      <c r="C137" s="4" t="s">
        <v>168</v>
      </c>
      <c r="D137" s="4" t="s">
        <v>111</v>
      </c>
      <c r="E137" s="4" t="s">
        <v>212</v>
      </c>
    </row>
    <row r="138" customFormat="false" ht="15" hidden="false" customHeight="false" outlineLevel="0" collapsed="false">
      <c r="A138" s="3" t="s">
        <v>413</v>
      </c>
      <c r="B138" s="3" t="s">
        <v>213</v>
      </c>
      <c r="C138" s="3" t="s">
        <v>175</v>
      </c>
      <c r="D138" s="3" t="s">
        <v>111</v>
      </c>
      <c r="E138" s="3" t="s">
        <v>214</v>
      </c>
    </row>
    <row r="139" customFormat="false" ht="15" hidden="false" customHeight="false" outlineLevel="0" collapsed="false">
      <c r="A139" s="4" t="s">
        <v>413</v>
      </c>
      <c r="B139" s="4" t="s">
        <v>215</v>
      </c>
      <c r="C139" s="4" t="s">
        <v>175</v>
      </c>
      <c r="D139" s="4" t="s">
        <v>111</v>
      </c>
      <c r="E139" s="4" t="s">
        <v>216</v>
      </c>
    </row>
    <row r="140" customFormat="false" ht="15" hidden="false" customHeight="false" outlineLevel="0" collapsed="false">
      <c r="A140" s="3" t="s">
        <v>413</v>
      </c>
      <c r="B140" s="3" t="s">
        <v>217</v>
      </c>
      <c r="C140" s="3" t="s">
        <v>202</v>
      </c>
      <c r="D140" s="3" t="s">
        <v>111</v>
      </c>
      <c r="E140" s="3" t="s">
        <v>218</v>
      </c>
    </row>
    <row r="141" customFormat="false" ht="15" hidden="false" customHeight="false" outlineLevel="0" collapsed="false">
      <c r="A141" s="4" t="s">
        <v>413</v>
      </c>
      <c r="B141" s="4" t="s">
        <v>414</v>
      </c>
      <c r="C141" s="4" t="s">
        <v>168</v>
      </c>
      <c r="D141" s="4" t="s">
        <v>415</v>
      </c>
      <c r="E141" s="4" t="s">
        <v>416</v>
      </c>
    </row>
    <row r="142" customFormat="false" ht="15" hidden="false" customHeight="false" outlineLevel="0" collapsed="false">
      <c r="A142" s="3" t="s">
        <v>413</v>
      </c>
      <c r="B142" s="3" t="s">
        <v>279</v>
      </c>
      <c r="C142" s="3" t="s">
        <v>168</v>
      </c>
      <c r="D142" s="3" t="s">
        <v>417</v>
      </c>
      <c r="E142" s="3"/>
    </row>
    <row r="143" customFormat="false" ht="15" hidden="false" customHeight="false" outlineLevel="0" collapsed="false">
      <c r="A143" s="4" t="s">
        <v>413</v>
      </c>
      <c r="B143" s="4" t="s">
        <v>418</v>
      </c>
      <c r="C143" s="4" t="s">
        <v>304</v>
      </c>
      <c r="D143" s="4" t="s">
        <v>419</v>
      </c>
      <c r="E143" s="4" t="s">
        <v>420</v>
      </c>
    </row>
    <row r="144" customFormat="false" ht="15" hidden="false" customHeight="false" outlineLevel="0" collapsed="false">
      <c r="A144" s="3" t="s">
        <v>413</v>
      </c>
      <c r="B144" s="3" t="s">
        <v>421</v>
      </c>
      <c r="C144" s="3" t="s">
        <v>243</v>
      </c>
      <c r="D144" s="3" t="s">
        <v>422</v>
      </c>
      <c r="E144" s="3" t="s">
        <v>423</v>
      </c>
    </row>
    <row r="145" customFormat="false" ht="15" hidden="false" customHeight="false" outlineLevel="0" collapsed="false">
      <c r="A145" s="4" t="s">
        <v>413</v>
      </c>
      <c r="B145" s="4" t="s">
        <v>424</v>
      </c>
      <c r="C145" s="4" t="s">
        <v>168</v>
      </c>
      <c r="D145" s="4" t="s">
        <v>425</v>
      </c>
      <c r="E145" s="4" t="s">
        <v>384</v>
      </c>
    </row>
    <row r="146" customFormat="false" ht="15" hidden="false" customHeight="false" outlineLevel="0" collapsed="false">
      <c r="A146" s="3" t="s">
        <v>413</v>
      </c>
      <c r="B146" s="3" t="s">
        <v>426</v>
      </c>
      <c r="C146" s="3" t="s">
        <v>168</v>
      </c>
      <c r="D146" s="3" t="s">
        <v>427</v>
      </c>
      <c r="E146" s="3"/>
    </row>
    <row r="147" customFormat="false" ht="15" hidden="false" customHeight="false" outlineLevel="0" collapsed="false">
      <c r="A147" s="4" t="s">
        <v>413</v>
      </c>
      <c r="B147" s="4" t="s">
        <v>428</v>
      </c>
      <c r="C147" s="4" t="s">
        <v>243</v>
      </c>
      <c r="D147" s="4" t="s">
        <v>429</v>
      </c>
      <c r="E147" s="4"/>
    </row>
    <row r="148" customFormat="false" ht="15" hidden="false" customHeight="false" outlineLevel="0" collapsed="false">
      <c r="A148" s="3" t="s">
        <v>413</v>
      </c>
      <c r="B148" s="3" t="s">
        <v>430</v>
      </c>
      <c r="C148" s="3" t="s">
        <v>243</v>
      </c>
      <c r="D148" s="3" t="s">
        <v>431</v>
      </c>
      <c r="E148" s="3" t="s">
        <v>432</v>
      </c>
    </row>
    <row r="149" customFormat="false" ht="15" hidden="false" customHeight="false" outlineLevel="0" collapsed="false">
      <c r="A149" s="4" t="s">
        <v>413</v>
      </c>
      <c r="B149" s="4" t="s">
        <v>433</v>
      </c>
      <c r="C149" s="4" t="s">
        <v>168</v>
      </c>
      <c r="D149" s="4" t="s">
        <v>434</v>
      </c>
      <c r="E149" s="4"/>
    </row>
    <row r="150" customFormat="false" ht="15" hidden="false" customHeight="false" outlineLevel="0" collapsed="false">
      <c r="A150" s="3" t="s">
        <v>413</v>
      </c>
      <c r="B150" s="3" t="s">
        <v>255</v>
      </c>
      <c r="C150" s="3" t="s">
        <v>243</v>
      </c>
      <c r="D150" s="3" t="s">
        <v>435</v>
      </c>
      <c r="E150" s="3" t="s">
        <v>436</v>
      </c>
    </row>
    <row r="151" customFormat="false" ht="15" hidden="false" customHeight="false" outlineLevel="0" collapsed="false">
      <c r="A151" s="4" t="s">
        <v>413</v>
      </c>
      <c r="B151" s="4" t="s">
        <v>437</v>
      </c>
      <c r="C151" s="4" t="s">
        <v>438</v>
      </c>
      <c r="D151" s="4" t="s">
        <v>439</v>
      </c>
      <c r="E151" s="4" t="s">
        <v>440</v>
      </c>
    </row>
    <row r="152" customFormat="false" ht="15" hidden="false" customHeight="false" outlineLevel="0" collapsed="false">
      <c r="A152" s="3" t="s">
        <v>413</v>
      </c>
      <c r="B152" s="3" t="s">
        <v>228</v>
      </c>
      <c r="C152" s="3" t="s">
        <v>175</v>
      </c>
      <c r="D152" s="3" t="s">
        <v>111</v>
      </c>
      <c r="E152" s="3" t="s">
        <v>229</v>
      </c>
    </row>
    <row r="153" customFormat="false" ht="15" hidden="false" customHeight="false" outlineLevel="0" collapsed="false">
      <c r="A153" s="4" t="s">
        <v>413</v>
      </c>
      <c r="B153" s="4" t="s">
        <v>230</v>
      </c>
      <c r="C153" s="4" t="s">
        <v>175</v>
      </c>
      <c r="D153" s="4" t="s">
        <v>111</v>
      </c>
      <c r="E153" s="4" t="s">
        <v>231</v>
      </c>
    </row>
    <row r="154" customFormat="false" ht="15" hidden="false" customHeight="false" outlineLevel="0" collapsed="false">
      <c r="A154" s="3" t="s">
        <v>413</v>
      </c>
      <c r="B154" s="3" t="s">
        <v>232</v>
      </c>
      <c r="C154" s="3" t="s">
        <v>175</v>
      </c>
      <c r="D154" s="3" t="s">
        <v>111</v>
      </c>
      <c r="E154" s="3" t="s">
        <v>233</v>
      </c>
    </row>
    <row r="155" customFormat="false" ht="15" hidden="false" customHeight="false" outlineLevel="0" collapsed="false">
      <c r="A155" s="4" t="s">
        <v>413</v>
      </c>
      <c r="B155" s="4" t="s">
        <v>234</v>
      </c>
      <c r="C155" s="4" t="s">
        <v>175</v>
      </c>
      <c r="D155" s="4" t="s">
        <v>111</v>
      </c>
      <c r="E155" s="4" t="s">
        <v>235</v>
      </c>
    </row>
    <row r="156" customFormat="false" ht="15" hidden="false" customHeight="false" outlineLevel="0" collapsed="false">
      <c r="A156" s="3" t="s">
        <v>413</v>
      </c>
      <c r="B156" s="3" t="s">
        <v>236</v>
      </c>
      <c r="C156" s="3" t="s">
        <v>175</v>
      </c>
      <c r="D156" s="3" t="s">
        <v>111</v>
      </c>
      <c r="E156" s="3" t="s">
        <v>237</v>
      </c>
    </row>
    <row r="157" customFormat="false" ht="15" hidden="false" customHeight="false" outlineLevel="0" collapsed="false">
      <c r="A157" s="4" t="s">
        <v>441</v>
      </c>
      <c r="B157" s="4" t="s">
        <v>208</v>
      </c>
      <c r="C157" s="4" t="s">
        <v>209</v>
      </c>
      <c r="D157" s="4" t="s">
        <v>111</v>
      </c>
      <c r="E157" s="4" t="s">
        <v>210</v>
      </c>
    </row>
    <row r="158" customFormat="false" ht="15" hidden="false" customHeight="false" outlineLevel="0" collapsed="false">
      <c r="A158" s="3" t="s">
        <v>441</v>
      </c>
      <c r="B158" s="3" t="s">
        <v>211</v>
      </c>
      <c r="C158" s="3" t="s">
        <v>168</v>
      </c>
      <c r="D158" s="3" t="s">
        <v>111</v>
      </c>
      <c r="E158" s="3" t="s">
        <v>212</v>
      </c>
    </row>
    <row r="159" customFormat="false" ht="15" hidden="false" customHeight="false" outlineLevel="0" collapsed="false">
      <c r="A159" s="4" t="s">
        <v>441</v>
      </c>
      <c r="B159" s="4" t="s">
        <v>213</v>
      </c>
      <c r="C159" s="4" t="s">
        <v>175</v>
      </c>
      <c r="D159" s="4" t="s">
        <v>111</v>
      </c>
      <c r="E159" s="4" t="s">
        <v>214</v>
      </c>
    </row>
    <row r="160" customFormat="false" ht="15" hidden="false" customHeight="false" outlineLevel="0" collapsed="false">
      <c r="A160" s="3" t="s">
        <v>441</v>
      </c>
      <c r="B160" s="3" t="s">
        <v>215</v>
      </c>
      <c r="C160" s="3" t="s">
        <v>175</v>
      </c>
      <c r="D160" s="3" t="s">
        <v>111</v>
      </c>
      <c r="E160" s="3" t="s">
        <v>216</v>
      </c>
    </row>
    <row r="161" customFormat="false" ht="15" hidden="false" customHeight="false" outlineLevel="0" collapsed="false">
      <c r="A161" s="4" t="s">
        <v>441</v>
      </c>
      <c r="B161" s="4" t="s">
        <v>217</v>
      </c>
      <c r="C161" s="4" t="s">
        <v>202</v>
      </c>
      <c r="D161" s="4" t="s">
        <v>111</v>
      </c>
      <c r="E161" s="4" t="s">
        <v>218</v>
      </c>
    </row>
    <row r="162" customFormat="false" ht="15" hidden="false" customHeight="false" outlineLevel="0" collapsed="false">
      <c r="A162" s="3" t="s">
        <v>441</v>
      </c>
      <c r="B162" s="3" t="s">
        <v>442</v>
      </c>
      <c r="C162" s="3" t="s">
        <v>168</v>
      </c>
      <c r="D162" s="3" t="s">
        <v>443</v>
      </c>
      <c r="E162" s="3" t="s">
        <v>384</v>
      </c>
    </row>
    <row r="163" customFormat="false" ht="15" hidden="false" customHeight="false" outlineLevel="0" collapsed="false">
      <c r="A163" s="4" t="s">
        <v>441</v>
      </c>
      <c r="B163" s="4" t="s">
        <v>444</v>
      </c>
      <c r="C163" s="4" t="s">
        <v>243</v>
      </c>
      <c r="D163" s="4" t="s">
        <v>445</v>
      </c>
      <c r="E163" s="4" t="s">
        <v>446</v>
      </c>
    </row>
    <row r="164" customFormat="false" ht="15" hidden="false" customHeight="false" outlineLevel="0" collapsed="false">
      <c r="A164" s="3" t="s">
        <v>441</v>
      </c>
      <c r="B164" s="3" t="s">
        <v>447</v>
      </c>
      <c r="C164" s="3" t="s">
        <v>304</v>
      </c>
      <c r="D164" s="3" t="s">
        <v>448</v>
      </c>
      <c r="E164" s="3"/>
    </row>
    <row r="165" customFormat="false" ht="15" hidden="false" customHeight="false" outlineLevel="0" collapsed="false">
      <c r="A165" s="4" t="s">
        <v>441</v>
      </c>
      <c r="B165" s="4" t="s">
        <v>449</v>
      </c>
      <c r="C165" s="4" t="s">
        <v>243</v>
      </c>
      <c r="D165" s="4" t="s">
        <v>450</v>
      </c>
      <c r="E165" s="4" t="s">
        <v>451</v>
      </c>
    </row>
    <row r="166" customFormat="false" ht="15" hidden="false" customHeight="false" outlineLevel="0" collapsed="false">
      <c r="A166" s="3" t="s">
        <v>441</v>
      </c>
      <c r="B166" s="3" t="s">
        <v>452</v>
      </c>
      <c r="C166" s="3" t="s">
        <v>243</v>
      </c>
      <c r="D166" s="3" t="s">
        <v>453</v>
      </c>
      <c r="E166" s="3" t="s">
        <v>454</v>
      </c>
    </row>
    <row r="167" customFormat="false" ht="15" hidden="false" customHeight="false" outlineLevel="0" collapsed="false">
      <c r="A167" s="4" t="s">
        <v>441</v>
      </c>
      <c r="B167" s="4" t="s">
        <v>455</v>
      </c>
      <c r="C167" s="4" t="s">
        <v>168</v>
      </c>
      <c r="D167" s="4" t="s">
        <v>456</v>
      </c>
      <c r="E167" s="4" t="s">
        <v>384</v>
      </c>
    </row>
    <row r="168" customFormat="false" ht="15" hidden="false" customHeight="false" outlineLevel="0" collapsed="false">
      <c r="A168" s="3" t="s">
        <v>441</v>
      </c>
      <c r="B168" s="3" t="s">
        <v>457</v>
      </c>
      <c r="C168" s="3" t="s">
        <v>168</v>
      </c>
      <c r="D168" s="3" t="s">
        <v>458</v>
      </c>
      <c r="E168" s="3"/>
    </row>
    <row r="169" customFormat="false" ht="15" hidden="false" customHeight="false" outlineLevel="0" collapsed="false">
      <c r="A169" s="4" t="s">
        <v>441</v>
      </c>
      <c r="B169" s="4" t="s">
        <v>459</v>
      </c>
      <c r="C169" s="4" t="s">
        <v>168</v>
      </c>
      <c r="D169" s="4" t="s">
        <v>460</v>
      </c>
      <c r="E169" s="4"/>
    </row>
    <row r="170" customFormat="false" ht="15" hidden="false" customHeight="false" outlineLevel="0" collapsed="false">
      <c r="A170" s="3" t="s">
        <v>441</v>
      </c>
      <c r="B170" s="3" t="s">
        <v>228</v>
      </c>
      <c r="C170" s="3" t="s">
        <v>175</v>
      </c>
      <c r="D170" s="3" t="s">
        <v>111</v>
      </c>
      <c r="E170" s="3" t="s">
        <v>229</v>
      </c>
    </row>
    <row r="171" customFormat="false" ht="15" hidden="false" customHeight="false" outlineLevel="0" collapsed="false">
      <c r="A171" s="4" t="s">
        <v>441</v>
      </c>
      <c r="B171" s="4" t="s">
        <v>230</v>
      </c>
      <c r="C171" s="4" t="s">
        <v>175</v>
      </c>
      <c r="D171" s="4" t="s">
        <v>111</v>
      </c>
      <c r="E171" s="4" t="s">
        <v>231</v>
      </c>
    </row>
    <row r="172" customFormat="false" ht="15" hidden="false" customHeight="false" outlineLevel="0" collapsed="false">
      <c r="A172" s="3" t="s">
        <v>441</v>
      </c>
      <c r="B172" s="3" t="s">
        <v>232</v>
      </c>
      <c r="C172" s="3" t="s">
        <v>175</v>
      </c>
      <c r="D172" s="3" t="s">
        <v>111</v>
      </c>
      <c r="E172" s="3" t="s">
        <v>233</v>
      </c>
    </row>
    <row r="173" customFormat="false" ht="15" hidden="false" customHeight="false" outlineLevel="0" collapsed="false">
      <c r="A173" s="4" t="s">
        <v>441</v>
      </c>
      <c r="B173" s="4" t="s">
        <v>234</v>
      </c>
      <c r="C173" s="4" t="s">
        <v>175</v>
      </c>
      <c r="D173" s="4" t="s">
        <v>111</v>
      </c>
      <c r="E173" s="4" t="s">
        <v>235</v>
      </c>
    </row>
    <row r="174" customFormat="false" ht="15" hidden="false" customHeight="false" outlineLevel="0" collapsed="false">
      <c r="A174" s="3" t="s">
        <v>441</v>
      </c>
      <c r="B174" s="3" t="s">
        <v>236</v>
      </c>
      <c r="C174" s="3" t="s">
        <v>175</v>
      </c>
      <c r="D174" s="3" t="s">
        <v>111</v>
      </c>
      <c r="E174" s="3" t="s">
        <v>237</v>
      </c>
    </row>
    <row r="175" customFormat="false" ht="15" hidden="false" customHeight="false" outlineLevel="0" collapsed="false">
      <c r="A175" s="4" t="s">
        <v>461</v>
      </c>
      <c r="B175" s="4" t="s">
        <v>208</v>
      </c>
      <c r="C175" s="4" t="s">
        <v>209</v>
      </c>
      <c r="D175" s="4" t="s">
        <v>111</v>
      </c>
      <c r="E175" s="4" t="s">
        <v>210</v>
      </c>
    </row>
    <row r="176" customFormat="false" ht="15" hidden="false" customHeight="false" outlineLevel="0" collapsed="false">
      <c r="A176" s="3" t="s">
        <v>461</v>
      </c>
      <c r="B176" s="3" t="s">
        <v>211</v>
      </c>
      <c r="C176" s="3" t="s">
        <v>168</v>
      </c>
      <c r="D176" s="3" t="s">
        <v>111</v>
      </c>
      <c r="E176" s="3" t="s">
        <v>212</v>
      </c>
    </row>
    <row r="177" customFormat="false" ht="15" hidden="false" customHeight="false" outlineLevel="0" collapsed="false">
      <c r="A177" s="4" t="s">
        <v>461</v>
      </c>
      <c r="B177" s="4" t="s">
        <v>213</v>
      </c>
      <c r="C177" s="4" t="s">
        <v>175</v>
      </c>
      <c r="D177" s="4" t="s">
        <v>111</v>
      </c>
      <c r="E177" s="4" t="s">
        <v>214</v>
      </c>
    </row>
    <row r="178" customFormat="false" ht="15" hidden="false" customHeight="false" outlineLevel="0" collapsed="false">
      <c r="A178" s="3" t="s">
        <v>461</v>
      </c>
      <c r="B178" s="3" t="s">
        <v>215</v>
      </c>
      <c r="C178" s="3" t="s">
        <v>175</v>
      </c>
      <c r="D178" s="3" t="s">
        <v>111</v>
      </c>
      <c r="E178" s="3" t="s">
        <v>216</v>
      </c>
    </row>
    <row r="179" customFormat="false" ht="15" hidden="false" customHeight="false" outlineLevel="0" collapsed="false">
      <c r="A179" s="4" t="s">
        <v>461</v>
      </c>
      <c r="B179" s="4" t="s">
        <v>217</v>
      </c>
      <c r="C179" s="4" t="s">
        <v>202</v>
      </c>
      <c r="D179" s="4" t="s">
        <v>111</v>
      </c>
      <c r="E179" s="4" t="s">
        <v>218</v>
      </c>
    </row>
    <row r="180" customFormat="false" ht="15" hidden="false" customHeight="false" outlineLevel="0" collapsed="false">
      <c r="A180" s="3" t="s">
        <v>461</v>
      </c>
      <c r="B180" s="3" t="s">
        <v>462</v>
      </c>
      <c r="C180" s="3" t="s">
        <v>243</v>
      </c>
      <c r="D180" s="3" t="s">
        <v>463</v>
      </c>
      <c r="E180" s="3"/>
    </row>
    <row r="181" customFormat="false" ht="15" hidden="false" customHeight="false" outlineLevel="0" collapsed="false">
      <c r="A181" s="4" t="s">
        <v>461</v>
      </c>
      <c r="B181" s="4" t="s">
        <v>464</v>
      </c>
      <c r="C181" s="4" t="s">
        <v>304</v>
      </c>
      <c r="D181" s="4" t="s">
        <v>465</v>
      </c>
      <c r="E181" s="4" t="s">
        <v>466</v>
      </c>
    </row>
    <row r="182" customFormat="false" ht="15" hidden="false" customHeight="false" outlineLevel="0" collapsed="false">
      <c r="A182" s="3" t="s">
        <v>461</v>
      </c>
      <c r="B182" s="3" t="s">
        <v>467</v>
      </c>
      <c r="C182" s="3" t="s">
        <v>168</v>
      </c>
      <c r="D182" s="3" t="s">
        <v>468</v>
      </c>
      <c r="E182" s="3" t="s">
        <v>469</v>
      </c>
    </row>
    <row r="183" customFormat="false" ht="15" hidden="false" customHeight="false" outlineLevel="0" collapsed="false">
      <c r="A183" s="4" t="s">
        <v>461</v>
      </c>
      <c r="B183" s="4" t="s">
        <v>470</v>
      </c>
      <c r="C183" s="4" t="s">
        <v>243</v>
      </c>
      <c r="D183" s="4" t="s">
        <v>471</v>
      </c>
      <c r="E183" s="4" t="s">
        <v>472</v>
      </c>
    </row>
    <row r="184" customFormat="false" ht="15" hidden="false" customHeight="false" outlineLevel="0" collapsed="false">
      <c r="A184" s="3" t="s">
        <v>461</v>
      </c>
      <c r="B184" s="3" t="s">
        <v>473</v>
      </c>
      <c r="C184" s="3" t="s">
        <v>319</v>
      </c>
      <c r="D184" s="3" t="s">
        <v>474</v>
      </c>
      <c r="E184" s="3"/>
    </row>
    <row r="185" customFormat="false" ht="15" hidden="false" customHeight="false" outlineLevel="0" collapsed="false">
      <c r="A185" s="4" t="s">
        <v>461</v>
      </c>
      <c r="B185" s="4" t="s">
        <v>326</v>
      </c>
      <c r="C185" s="4" t="s">
        <v>168</v>
      </c>
      <c r="D185" s="4" t="s">
        <v>475</v>
      </c>
      <c r="E185" s="4"/>
    </row>
    <row r="186" customFormat="false" ht="15" hidden="false" customHeight="false" outlineLevel="0" collapsed="false">
      <c r="A186" s="3" t="s">
        <v>461</v>
      </c>
      <c r="B186" s="3" t="s">
        <v>476</v>
      </c>
      <c r="C186" s="3" t="s">
        <v>175</v>
      </c>
      <c r="D186" s="3" t="s">
        <v>111</v>
      </c>
      <c r="E186" s="3" t="s">
        <v>477</v>
      </c>
    </row>
    <row r="187" customFormat="false" ht="15" hidden="false" customHeight="false" outlineLevel="0" collapsed="false">
      <c r="A187" s="4" t="s">
        <v>461</v>
      </c>
      <c r="B187" s="4" t="s">
        <v>228</v>
      </c>
      <c r="C187" s="4" t="s">
        <v>175</v>
      </c>
      <c r="D187" s="4" t="s">
        <v>111</v>
      </c>
      <c r="E187" s="4" t="s">
        <v>229</v>
      </c>
    </row>
    <row r="188" customFormat="false" ht="15" hidden="false" customHeight="false" outlineLevel="0" collapsed="false">
      <c r="A188" s="3" t="s">
        <v>461</v>
      </c>
      <c r="B188" s="3" t="s">
        <v>230</v>
      </c>
      <c r="C188" s="3" t="s">
        <v>175</v>
      </c>
      <c r="D188" s="3" t="s">
        <v>111</v>
      </c>
      <c r="E188" s="3" t="s">
        <v>231</v>
      </c>
    </row>
    <row r="189" customFormat="false" ht="15" hidden="false" customHeight="false" outlineLevel="0" collapsed="false">
      <c r="A189" s="4" t="s">
        <v>461</v>
      </c>
      <c r="B189" s="4" t="s">
        <v>232</v>
      </c>
      <c r="C189" s="4" t="s">
        <v>175</v>
      </c>
      <c r="D189" s="4" t="s">
        <v>111</v>
      </c>
      <c r="E189" s="4" t="s">
        <v>233</v>
      </c>
    </row>
    <row r="190" customFormat="false" ht="15" hidden="false" customHeight="false" outlineLevel="0" collapsed="false">
      <c r="A190" s="3" t="s">
        <v>461</v>
      </c>
      <c r="B190" s="3" t="s">
        <v>234</v>
      </c>
      <c r="C190" s="3" t="s">
        <v>175</v>
      </c>
      <c r="D190" s="3" t="s">
        <v>111</v>
      </c>
      <c r="E190" s="3" t="s">
        <v>235</v>
      </c>
    </row>
    <row r="191" customFormat="false" ht="15" hidden="false" customHeight="false" outlineLevel="0" collapsed="false">
      <c r="A191" s="4" t="s">
        <v>461</v>
      </c>
      <c r="B191" s="4" t="s">
        <v>236</v>
      </c>
      <c r="C191" s="4" t="s">
        <v>175</v>
      </c>
      <c r="D191" s="4" t="s">
        <v>111</v>
      </c>
      <c r="E191" s="4" t="s">
        <v>237</v>
      </c>
    </row>
    <row r="192" customFormat="false" ht="15" hidden="false" customHeight="false" outlineLevel="0" collapsed="false">
      <c r="A192" s="3" t="s">
        <v>478</v>
      </c>
      <c r="B192" s="3" t="s">
        <v>208</v>
      </c>
      <c r="C192" s="3" t="s">
        <v>209</v>
      </c>
      <c r="D192" s="3" t="s">
        <v>111</v>
      </c>
      <c r="E192" s="3" t="s">
        <v>210</v>
      </c>
    </row>
    <row r="193" customFormat="false" ht="15" hidden="false" customHeight="false" outlineLevel="0" collapsed="false">
      <c r="A193" s="4" t="s">
        <v>478</v>
      </c>
      <c r="B193" s="4" t="s">
        <v>211</v>
      </c>
      <c r="C193" s="4" t="s">
        <v>168</v>
      </c>
      <c r="D193" s="4" t="s">
        <v>111</v>
      </c>
      <c r="E193" s="4" t="s">
        <v>212</v>
      </c>
    </row>
    <row r="194" customFormat="false" ht="15" hidden="false" customHeight="false" outlineLevel="0" collapsed="false">
      <c r="A194" s="3" t="s">
        <v>478</v>
      </c>
      <c r="B194" s="3" t="s">
        <v>213</v>
      </c>
      <c r="C194" s="3" t="s">
        <v>175</v>
      </c>
      <c r="D194" s="3" t="s">
        <v>111</v>
      </c>
      <c r="E194" s="3" t="s">
        <v>214</v>
      </c>
    </row>
    <row r="195" customFormat="false" ht="15" hidden="false" customHeight="false" outlineLevel="0" collapsed="false">
      <c r="A195" s="4" t="s">
        <v>478</v>
      </c>
      <c r="B195" s="4" t="s">
        <v>215</v>
      </c>
      <c r="C195" s="4" t="s">
        <v>175</v>
      </c>
      <c r="D195" s="4" t="s">
        <v>111</v>
      </c>
      <c r="E195" s="4" t="s">
        <v>216</v>
      </c>
    </row>
    <row r="196" customFormat="false" ht="15" hidden="false" customHeight="false" outlineLevel="0" collapsed="false">
      <c r="A196" s="3" t="s">
        <v>478</v>
      </c>
      <c r="B196" s="3" t="s">
        <v>217</v>
      </c>
      <c r="C196" s="3" t="s">
        <v>202</v>
      </c>
      <c r="D196" s="3" t="s">
        <v>111</v>
      </c>
      <c r="E196" s="3" t="s">
        <v>218</v>
      </c>
    </row>
    <row r="197" customFormat="false" ht="15" hidden="false" customHeight="false" outlineLevel="0" collapsed="false">
      <c r="A197" s="4" t="s">
        <v>478</v>
      </c>
      <c r="B197" s="4" t="s">
        <v>479</v>
      </c>
      <c r="C197" s="4" t="s">
        <v>243</v>
      </c>
      <c r="D197" s="4" t="s">
        <v>480</v>
      </c>
      <c r="E197" s="4" t="s">
        <v>481</v>
      </c>
    </row>
    <row r="198" customFormat="false" ht="15" hidden="false" customHeight="false" outlineLevel="0" collapsed="false">
      <c r="A198" s="3" t="s">
        <v>478</v>
      </c>
      <c r="B198" s="3" t="s">
        <v>482</v>
      </c>
      <c r="C198" s="3" t="s">
        <v>304</v>
      </c>
      <c r="D198" s="3" t="s">
        <v>483</v>
      </c>
      <c r="E198" s="3"/>
    </row>
    <row r="199" customFormat="false" ht="15" hidden="false" customHeight="false" outlineLevel="0" collapsed="false">
      <c r="A199" s="4" t="s">
        <v>478</v>
      </c>
      <c r="B199" s="4" t="s">
        <v>484</v>
      </c>
      <c r="C199" s="4" t="s">
        <v>220</v>
      </c>
      <c r="D199" s="4" t="s">
        <v>485</v>
      </c>
      <c r="E199" s="4" t="s">
        <v>254</v>
      </c>
    </row>
    <row r="200" customFormat="false" ht="15" hidden="false" customHeight="false" outlineLevel="0" collapsed="false">
      <c r="A200" s="3" t="s">
        <v>478</v>
      </c>
      <c r="B200" s="3" t="s">
        <v>255</v>
      </c>
      <c r="C200" s="3" t="s">
        <v>243</v>
      </c>
      <c r="D200" s="3" t="s">
        <v>486</v>
      </c>
      <c r="E200" s="3" t="s">
        <v>487</v>
      </c>
    </row>
    <row r="201" customFormat="false" ht="15" hidden="false" customHeight="false" outlineLevel="0" collapsed="false">
      <c r="A201" s="4" t="s">
        <v>478</v>
      </c>
      <c r="B201" s="4" t="s">
        <v>488</v>
      </c>
      <c r="C201" s="4" t="s">
        <v>168</v>
      </c>
      <c r="D201" s="4" t="s">
        <v>489</v>
      </c>
      <c r="E201" s="4"/>
    </row>
    <row r="202" customFormat="false" ht="15" hidden="false" customHeight="false" outlineLevel="0" collapsed="false">
      <c r="A202" s="3" t="s">
        <v>478</v>
      </c>
      <c r="B202" s="3" t="s">
        <v>490</v>
      </c>
      <c r="C202" s="3" t="s">
        <v>175</v>
      </c>
      <c r="D202" s="3" t="s">
        <v>491</v>
      </c>
      <c r="E202" s="3" t="s">
        <v>492</v>
      </c>
    </row>
    <row r="203" customFormat="false" ht="15" hidden="false" customHeight="false" outlineLevel="0" collapsed="false">
      <c r="A203" s="4" t="s">
        <v>478</v>
      </c>
      <c r="B203" s="4" t="s">
        <v>228</v>
      </c>
      <c r="C203" s="4" t="s">
        <v>175</v>
      </c>
      <c r="D203" s="4" t="s">
        <v>111</v>
      </c>
      <c r="E203" s="4" t="s">
        <v>229</v>
      </c>
    </row>
    <row r="204" customFormat="false" ht="15" hidden="false" customHeight="false" outlineLevel="0" collapsed="false">
      <c r="A204" s="3" t="s">
        <v>478</v>
      </c>
      <c r="B204" s="3" t="s">
        <v>230</v>
      </c>
      <c r="C204" s="3" t="s">
        <v>175</v>
      </c>
      <c r="D204" s="3" t="s">
        <v>111</v>
      </c>
      <c r="E204" s="3" t="s">
        <v>231</v>
      </c>
    </row>
    <row r="205" customFormat="false" ht="15" hidden="false" customHeight="false" outlineLevel="0" collapsed="false">
      <c r="A205" s="4" t="s">
        <v>478</v>
      </c>
      <c r="B205" s="4" t="s">
        <v>232</v>
      </c>
      <c r="C205" s="4" t="s">
        <v>175</v>
      </c>
      <c r="D205" s="4" t="s">
        <v>111</v>
      </c>
      <c r="E205" s="4" t="s">
        <v>233</v>
      </c>
    </row>
    <row r="206" customFormat="false" ht="15" hidden="false" customHeight="false" outlineLevel="0" collapsed="false">
      <c r="A206" s="3" t="s">
        <v>478</v>
      </c>
      <c r="B206" s="3" t="s">
        <v>234</v>
      </c>
      <c r="C206" s="3" t="s">
        <v>175</v>
      </c>
      <c r="D206" s="3" t="s">
        <v>111</v>
      </c>
      <c r="E206" s="3" t="s">
        <v>235</v>
      </c>
    </row>
    <row r="207" customFormat="false" ht="15" hidden="false" customHeight="false" outlineLevel="0" collapsed="false">
      <c r="A207" s="4" t="s">
        <v>478</v>
      </c>
      <c r="B207" s="4" t="s">
        <v>236</v>
      </c>
      <c r="C207" s="4" t="s">
        <v>175</v>
      </c>
      <c r="D207" s="4" t="s">
        <v>111</v>
      </c>
      <c r="E207" s="4" t="s">
        <v>237</v>
      </c>
    </row>
    <row r="208" customFormat="false" ht="15" hidden="false" customHeight="false" outlineLevel="0" collapsed="false">
      <c r="A208" s="3" t="s">
        <v>493</v>
      </c>
      <c r="B208" s="3" t="s">
        <v>494</v>
      </c>
      <c r="C208" s="3" t="s">
        <v>495</v>
      </c>
      <c r="D208" s="3" t="s">
        <v>496</v>
      </c>
      <c r="E208" s="3" t="s">
        <v>497</v>
      </c>
    </row>
    <row r="209" customFormat="false" ht="15" hidden="false" customHeight="false" outlineLevel="0" collapsed="false">
      <c r="A209" s="4" t="s">
        <v>493</v>
      </c>
      <c r="B209" s="4" t="s">
        <v>498</v>
      </c>
      <c r="C209" s="4" t="s">
        <v>202</v>
      </c>
      <c r="D209" s="4" t="s">
        <v>499</v>
      </c>
      <c r="E209" s="4" t="s">
        <v>500</v>
      </c>
    </row>
    <row r="210" customFormat="false" ht="15" hidden="false" customHeight="false" outlineLevel="0" collapsed="false">
      <c r="A210" s="3" t="s">
        <v>493</v>
      </c>
      <c r="B210" s="3" t="s">
        <v>501</v>
      </c>
      <c r="C210" s="3" t="s">
        <v>202</v>
      </c>
      <c r="D210" s="3" t="s">
        <v>344</v>
      </c>
      <c r="E210" s="3" t="s">
        <v>502</v>
      </c>
    </row>
    <row r="211" customFormat="false" ht="15" hidden="false" customHeight="false" outlineLevel="0" collapsed="false">
      <c r="A211" s="4" t="s">
        <v>493</v>
      </c>
      <c r="B211" s="4" t="s">
        <v>503</v>
      </c>
      <c r="C211" s="4" t="s">
        <v>202</v>
      </c>
      <c r="D211" s="4" t="s">
        <v>203</v>
      </c>
      <c r="E211" s="4" t="s">
        <v>504</v>
      </c>
    </row>
  </sheetData>
  <autoFilter ref="A3:E2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G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36"/>
    <col collapsed="false" customWidth="true" hidden="false" outlineLevel="0" max="4" min="4" style="0" width="44"/>
    <col collapsed="false" customWidth="true" hidden="false" outlineLevel="0" max="5" min="5" style="0" width="52"/>
    <col collapsed="false" customWidth="true" hidden="false" outlineLevel="0" max="6" min="6" style="0" width="16"/>
    <col collapsed="false" customWidth="true" hidden="false" outlineLevel="0" max="7" min="7" style="0" width="24"/>
  </cols>
  <sheetData>
    <row r="1" customFormat="false" ht="17.35" hidden="false" customHeight="false" outlineLevel="0" collapsed="false">
      <c r="A1" s="1" t="s">
        <v>505</v>
      </c>
    </row>
    <row r="2" customFormat="false" ht="15" hidden="false" customHeight="false" outlineLevel="0" collapsed="false">
      <c r="A2" s="5" t="s">
        <v>506</v>
      </c>
    </row>
    <row r="3" customFormat="false" ht="15" hidden="false" customHeight="false" outlineLevel="0" collapsed="false">
      <c r="A3" s="2" t="s">
        <v>507</v>
      </c>
      <c r="B3" s="2" t="s">
        <v>508</v>
      </c>
      <c r="C3" s="2" t="s">
        <v>4</v>
      </c>
      <c r="D3" s="2" t="s">
        <v>509</v>
      </c>
      <c r="E3" s="2" t="s">
        <v>510</v>
      </c>
      <c r="F3" s="2" t="s">
        <v>361</v>
      </c>
      <c r="G3" s="2" t="s">
        <v>326</v>
      </c>
    </row>
    <row r="4" customFormat="false" ht="15" hidden="false" customHeight="false" outlineLevel="0" collapsed="false">
      <c r="A4" s="3" t="s">
        <v>511</v>
      </c>
      <c r="B4" s="3" t="s">
        <v>12</v>
      </c>
      <c r="C4" s="3" t="s">
        <v>512</v>
      </c>
      <c r="D4" s="3" t="s">
        <v>513</v>
      </c>
      <c r="E4" s="3" t="s">
        <v>514</v>
      </c>
      <c r="F4" s="3" t="s">
        <v>515</v>
      </c>
      <c r="G4" s="3"/>
    </row>
    <row r="5" customFormat="false" ht="23.85" hidden="false" customHeight="false" outlineLevel="0" collapsed="false">
      <c r="A5" s="4" t="s">
        <v>516</v>
      </c>
      <c r="B5" s="4" t="s">
        <v>12</v>
      </c>
      <c r="C5" s="4" t="s">
        <v>517</v>
      </c>
      <c r="D5" s="4" t="s">
        <v>518</v>
      </c>
      <c r="E5" s="4" t="s">
        <v>519</v>
      </c>
      <c r="F5" s="4" t="s">
        <v>515</v>
      </c>
      <c r="G5" s="4"/>
    </row>
    <row r="6" customFormat="false" ht="15" hidden="false" customHeight="false" outlineLevel="0" collapsed="false">
      <c r="A6" s="3" t="s">
        <v>520</v>
      </c>
      <c r="B6" s="3" t="s">
        <v>12</v>
      </c>
      <c r="C6" s="3" t="s">
        <v>521</v>
      </c>
      <c r="D6" s="3" t="s">
        <v>522</v>
      </c>
      <c r="E6" s="3" t="s">
        <v>523</v>
      </c>
      <c r="F6" s="3" t="s">
        <v>515</v>
      </c>
      <c r="G6" s="3"/>
    </row>
    <row r="7" customFormat="false" ht="15" hidden="false" customHeight="false" outlineLevel="0" collapsed="false">
      <c r="A7" s="4" t="s">
        <v>524</v>
      </c>
      <c r="B7" s="4" t="s">
        <v>525</v>
      </c>
      <c r="C7" s="4" t="s">
        <v>526</v>
      </c>
      <c r="D7" s="4" t="s">
        <v>527</v>
      </c>
      <c r="E7" s="4" t="s">
        <v>528</v>
      </c>
      <c r="F7" s="4" t="s">
        <v>515</v>
      </c>
      <c r="G7" s="4"/>
    </row>
    <row r="8" customFormat="false" ht="15" hidden="false" customHeight="false" outlineLevel="0" collapsed="false">
      <c r="A8" s="3" t="s">
        <v>529</v>
      </c>
      <c r="B8" s="3" t="s">
        <v>525</v>
      </c>
      <c r="C8" s="3" t="s">
        <v>530</v>
      </c>
      <c r="D8" s="3" t="s">
        <v>531</v>
      </c>
      <c r="E8" s="3" t="s">
        <v>532</v>
      </c>
      <c r="F8" s="3" t="s">
        <v>515</v>
      </c>
      <c r="G8" s="3"/>
    </row>
    <row r="9" customFormat="false" ht="15" hidden="false" customHeight="false" outlineLevel="0" collapsed="false">
      <c r="A9" s="4" t="s">
        <v>533</v>
      </c>
      <c r="B9" s="4" t="s">
        <v>525</v>
      </c>
      <c r="C9" s="4" t="s">
        <v>534</v>
      </c>
      <c r="D9" s="4" t="s">
        <v>535</v>
      </c>
      <c r="E9" s="4" t="s">
        <v>536</v>
      </c>
      <c r="F9" s="4" t="s">
        <v>515</v>
      </c>
      <c r="G9" s="4"/>
    </row>
    <row r="10" customFormat="false" ht="15" hidden="false" customHeight="false" outlineLevel="0" collapsed="false">
      <c r="A10" s="3" t="s">
        <v>537</v>
      </c>
      <c r="B10" s="3" t="s">
        <v>538</v>
      </c>
      <c r="C10" s="3" t="s">
        <v>539</v>
      </c>
      <c r="D10" s="3" t="s">
        <v>540</v>
      </c>
      <c r="E10" s="3" t="s">
        <v>541</v>
      </c>
      <c r="F10" s="3" t="s">
        <v>515</v>
      </c>
      <c r="G10" s="3"/>
    </row>
    <row r="11" customFormat="false" ht="15" hidden="false" customHeight="false" outlineLevel="0" collapsed="false">
      <c r="A11" s="4" t="s">
        <v>542</v>
      </c>
      <c r="B11" s="4" t="s">
        <v>538</v>
      </c>
      <c r="C11" s="4" t="s">
        <v>543</v>
      </c>
      <c r="D11" s="4" t="s">
        <v>544</v>
      </c>
      <c r="E11" s="4" t="s">
        <v>545</v>
      </c>
      <c r="F11" s="4" t="s">
        <v>515</v>
      </c>
      <c r="G11" s="4"/>
    </row>
    <row r="12" customFormat="false" ht="15" hidden="false" customHeight="false" outlineLevel="0" collapsed="false">
      <c r="A12" s="3" t="s">
        <v>546</v>
      </c>
      <c r="B12" s="3" t="s">
        <v>538</v>
      </c>
      <c r="C12" s="3" t="s">
        <v>547</v>
      </c>
      <c r="D12" s="3" t="s">
        <v>548</v>
      </c>
      <c r="E12" s="3" t="s">
        <v>549</v>
      </c>
      <c r="F12" s="3" t="s">
        <v>515</v>
      </c>
      <c r="G12" s="3"/>
    </row>
    <row r="13" customFormat="false" ht="15" hidden="false" customHeight="false" outlineLevel="0" collapsed="false">
      <c r="A13" s="4" t="s">
        <v>550</v>
      </c>
      <c r="B13" s="4" t="s">
        <v>538</v>
      </c>
      <c r="C13" s="4" t="s">
        <v>551</v>
      </c>
      <c r="D13" s="4" t="s">
        <v>552</v>
      </c>
      <c r="E13" s="4" t="s">
        <v>553</v>
      </c>
      <c r="F13" s="4" t="s">
        <v>515</v>
      </c>
      <c r="G13" s="4"/>
    </row>
    <row r="14" customFormat="false" ht="15" hidden="false" customHeight="false" outlineLevel="0" collapsed="false">
      <c r="A14" s="3" t="s">
        <v>554</v>
      </c>
      <c r="B14" s="3" t="s">
        <v>50</v>
      </c>
      <c r="C14" s="3" t="s">
        <v>555</v>
      </c>
      <c r="D14" s="3" t="s">
        <v>556</v>
      </c>
      <c r="E14" s="3" t="s">
        <v>557</v>
      </c>
      <c r="F14" s="3" t="s">
        <v>515</v>
      </c>
      <c r="G14" s="3"/>
    </row>
    <row r="15" customFormat="false" ht="15" hidden="false" customHeight="false" outlineLevel="0" collapsed="false">
      <c r="A15" s="4" t="s">
        <v>558</v>
      </c>
      <c r="B15" s="4" t="s">
        <v>50</v>
      </c>
      <c r="C15" s="4" t="s">
        <v>559</v>
      </c>
      <c r="D15" s="4" t="s">
        <v>560</v>
      </c>
      <c r="E15" s="4" t="s">
        <v>561</v>
      </c>
      <c r="F15" s="4" t="s">
        <v>515</v>
      </c>
      <c r="G15" s="4"/>
    </row>
    <row r="16" customFormat="false" ht="15" hidden="false" customHeight="false" outlineLevel="0" collapsed="false">
      <c r="A16" s="3" t="s">
        <v>562</v>
      </c>
      <c r="B16" s="3" t="s">
        <v>563</v>
      </c>
      <c r="C16" s="3" t="s">
        <v>564</v>
      </c>
      <c r="D16" s="3" t="s">
        <v>565</v>
      </c>
      <c r="E16" s="3" t="s">
        <v>566</v>
      </c>
      <c r="F16" s="3" t="s">
        <v>515</v>
      </c>
      <c r="G16" s="3"/>
    </row>
    <row r="17" customFormat="false" ht="23.85" hidden="false" customHeight="false" outlineLevel="0" collapsed="false">
      <c r="A17" s="4" t="s">
        <v>567</v>
      </c>
      <c r="B17" s="4" t="s">
        <v>359</v>
      </c>
      <c r="C17" s="4" t="s">
        <v>568</v>
      </c>
      <c r="D17" s="4" t="s">
        <v>569</v>
      </c>
      <c r="E17" s="4" t="s">
        <v>570</v>
      </c>
      <c r="F17" s="4" t="s">
        <v>515</v>
      </c>
      <c r="G17" s="4"/>
    </row>
    <row r="18" customFormat="false" ht="23.85" hidden="false" customHeight="false" outlineLevel="0" collapsed="false">
      <c r="A18" s="3" t="s">
        <v>571</v>
      </c>
      <c r="B18" s="3" t="s">
        <v>359</v>
      </c>
      <c r="C18" s="3" t="s">
        <v>572</v>
      </c>
      <c r="D18" s="3" t="s">
        <v>573</v>
      </c>
      <c r="E18" s="3" t="s">
        <v>574</v>
      </c>
      <c r="F18" s="3" t="s">
        <v>515</v>
      </c>
      <c r="G18" s="3"/>
    </row>
    <row r="19" customFormat="false" ht="15" hidden="false" customHeight="false" outlineLevel="0" collapsed="false">
      <c r="A19" s="4" t="s">
        <v>575</v>
      </c>
      <c r="B19" s="4" t="s">
        <v>359</v>
      </c>
      <c r="C19" s="4" t="s">
        <v>576</v>
      </c>
      <c r="D19" s="4" t="s">
        <v>577</v>
      </c>
      <c r="E19" s="4" t="s">
        <v>578</v>
      </c>
      <c r="F19" s="4" t="s">
        <v>515</v>
      </c>
      <c r="G19" s="4"/>
    </row>
    <row r="20" customFormat="false" ht="15" hidden="false" customHeight="false" outlineLevel="0" collapsed="false">
      <c r="A20" s="3" t="s">
        <v>579</v>
      </c>
      <c r="B20" s="3" t="s">
        <v>359</v>
      </c>
      <c r="C20" s="3" t="s">
        <v>580</v>
      </c>
      <c r="D20" s="3" t="s">
        <v>581</v>
      </c>
      <c r="E20" s="3" t="s">
        <v>582</v>
      </c>
      <c r="F20" s="3" t="s">
        <v>515</v>
      </c>
      <c r="G20" s="3"/>
    </row>
    <row r="21" customFormat="false" ht="23.85" hidden="false" customHeight="false" outlineLevel="0" collapsed="false">
      <c r="A21" s="4" t="s">
        <v>583</v>
      </c>
      <c r="B21" s="4" t="s">
        <v>359</v>
      </c>
      <c r="C21" s="4" t="s">
        <v>584</v>
      </c>
      <c r="D21" s="4" t="s">
        <v>585</v>
      </c>
      <c r="E21" s="4" t="s">
        <v>586</v>
      </c>
      <c r="F21" s="4" t="s">
        <v>515</v>
      </c>
      <c r="G21" s="4"/>
    </row>
    <row r="22" customFormat="false" ht="23.85" hidden="false" customHeight="false" outlineLevel="0" collapsed="false">
      <c r="A22" s="3" t="s">
        <v>587</v>
      </c>
      <c r="B22" s="3" t="s">
        <v>359</v>
      </c>
      <c r="C22" s="3" t="s">
        <v>588</v>
      </c>
      <c r="D22" s="3" t="s">
        <v>589</v>
      </c>
      <c r="E22" s="3" t="s">
        <v>590</v>
      </c>
      <c r="F22" s="3" t="s">
        <v>515</v>
      </c>
      <c r="G22" s="3"/>
    </row>
    <row r="23" customFormat="false" ht="15" hidden="false" customHeight="false" outlineLevel="0" collapsed="false">
      <c r="A23" s="4" t="s">
        <v>591</v>
      </c>
      <c r="B23" s="4" t="s">
        <v>359</v>
      </c>
      <c r="C23" s="4" t="s">
        <v>592</v>
      </c>
      <c r="D23" s="4" t="s">
        <v>593</v>
      </c>
      <c r="E23" s="4" t="s">
        <v>594</v>
      </c>
      <c r="F23" s="4" t="s">
        <v>515</v>
      </c>
      <c r="G23" s="4"/>
    </row>
    <row r="24" customFormat="false" ht="15" hidden="false" customHeight="false" outlineLevel="0" collapsed="false">
      <c r="A24" s="3" t="s">
        <v>595</v>
      </c>
      <c r="B24" s="3" t="s">
        <v>359</v>
      </c>
      <c r="C24" s="3" t="s">
        <v>596</v>
      </c>
      <c r="D24" s="3" t="s">
        <v>597</v>
      </c>
      <c r="E24" s="3" t="s">
        <v>598</v>
      </c>
      <c r="F24" s="3" t="s">
        <v>515</v>
      </c>
      <c r="G24" s="3"/>
    </row>
    <row r="25" customFormat="false" ht="23.85" hidden="false" customHeight="false" outlineLevel="0" collapsed="false">
      <c r="A25" s="4" t="s">
        <v>599</v>
      </c>
      <c r="B25" s="4" t="s">
        <v>600</v>
      </c>
      <c r="C25" s="4" t="s">
        <v>601</v>
      </c>
      <c r="D25" s="4" t="s">
        <v>602</v>
      </c>
      <c r="E25" s="4" t="s">
        <v>603</v>
      </c>
      <c r="F25" s="4" t="s">
        <v>515</v>
      </c>
      <c r="G25" s="4"/>
    </row>
    <row r="26" customFormat="false" ht="15" hidden="false" customHeight="false" outlineLevel="0" collapsed="false">
      <c r="A26" s="3" t="s">
        <v>604</v>
      </c>
      <c r="B26" s="3" t="s">
        <v>600</v>
      </c>
      <c r="C26" s="3" t="s">
        <v>605</v>
      </c>
      <c r="D26" s="3" t="s">
        <v>606</v>
      </c>
      <c r="E26" s="3" t="s">
        <v>607</v>
      </c>
      <c r="F26" s="3" t="s">
        <v>515</v>
      </c>
      <c r="G26" s="3"/>
    </row>
    <row r="27" customFormat="false" ht="15" hidden="false" customHeight="false" outlineLevel="0" collapsed="false">
      <c r="A27" s="4" t="s">
        <v>608</v>
      </c>
      <c r="B27" s="4" t="s">
        <v>600</v>
      </c>
      <c r="C27" s="4" t="s">
        <v>609</v>
      </c>
      <c r="D27" s="4" t="s">
        <v>610</v>
      </c>
      <c r="E27" s="4" t="s">
        <v>611</v>
      </c>
      <c r="F27" s="4" t="s">
        <v>515</v>
      </c>
      <c r="G27" s="4"/>
    </row>
    <row r="28" customFormat="false" ht="15" hidden="false" customHeight="false" outlineLevel="0" collapsed="false">
      <c r="A28" s="3" t="s">
        <v>612</v>
      </c>
      <c r="B28" s="3" t="s">
        <v>600</v>
      </c>
      <c r="C28" s="3" t="s">
        <v>613</v>
      </c>
      <c r="D28" s="3" t="s">
        <v>614</v>
      </c>
      <c r="E28" s="3" t="s">
        <v>615</v>
      </c>
      <c r="F28" s="3" t="s">
        <v>515</v>
      </c>
      <c r="G28" s="3"/>
    </row>
    <row r="29" customFormat="false" ht="15" hidden="false" customHeight="false" outlineLevel="0" collapsed="false">
      <c r="A29" s="4" t="s">
        <v>616</v>
      </c>
      <c r="B29" s="4" t="s">
        <v>600</v>
      </c>
      <c r="C29" s="4" t="s">
        <v>617</v>
      </c>
      <c r="D29" s="4" t="s">
        <v>618</v>
      </c>
      <c r="E29" s="4" t="s">
        <v>619</v>
      </c>
      <c r="F29" s="4" t="s">
        <v>515</v>
      </c>
      <c r="G29" s="4"/>
    </row>
    <row r="30" customFormat="false" ht="15" hidden="false" customHeight="false" outlineLevel="0" collapsed="false">
      <c r="A30" s="3" t="s">
        <v>620</v>
      </c>
      <c r="B30" s="3" t="s">
        <v>600</v>
      </c>
      <c r="C30" s="3" t="s">
        <v>621</v>
      </c>
      <c r="D30" s="3" t="s">
        <v>622</v>
      </c>
      <c r="E30" s="3" t="s">
        <v>623</v>
      </c>
      <c r="F30" s="3" t="s">
        <v>515</v>
      </c>
      <c r="G30" s="3"/>
    </row>
    <row r="31" customFormat="false" ht="23.85" hidden="false" customHeight="false" outlineLevel="0" collapsed="false">
      <c r="A31" s="4" t="s">
        <v>624</v>
      </c>
      <c r="B31" s="4" t="s">
        <v>625</v>
      </c>
      <c r="C31" s="4" t="s">
        <v>626</v>
      </c>
      <c r="D31" s="4" t="s">
        <v>627</v>
      </c>
      <c r="E31" s="4" t="s">
        <v>628</v>
      </c>
      <c r="F31" s="4" t="s">
        <v>515</v>
      </c>
      <c r="G31" s="4"/>
    </row>
    <row r="32" customFormat="false" ht="15" hidden="false" customHeight="false" outlineLevel="0" collapsed="false">
      <c r="A32" s="3" t="s">
        <v>629</v>
      </c>
      <c r="B32" s="3" t="s">
        <v>625</v>
      </c>
      <c r="C32" s="3" t="s">
        <v>630</v>
      </c>
      <c r="D32" s="3" t="s">
        <v>631</v>
      </c>
      <c r="E32" s="3" t="s">
        <v>632</v>
      </c>
      <c r="F32" s="3" t="s">
        <v>515</v>
      </c>
      <c r="G32" s="3"/>
    </row>
    <row r="33" customFormat="false" ht="15" hidden="false" customHeight="false" outlineLevel="0" collapsed="false">
      <c r="A33" s="4" t="s">
        <v>633</v>
      </c>
      <c r="B33" s="4" t="s">
        <v>625</v>
      </c>
      <c r="C33" s="4" t="s">
        <v>634</v>
      </c>
      <c r="D33" s="4" t="s">
        <v>635</v>
      </c>
      <c r="E33" s="4" t="s">
        <v>636</v>
      </c>
      <c r="F33" s="4" t="s">
        <v>515</v>
      </c>
      <c r="G33" s="4"/>
    </row>
    <row r="34" customFormat="false" ht="15" hidden="false" customHeight="false" outlineLevel="0" collapsed="false">
      <c r="A34" s="3" t="s">
        <v>637</v>
      </c>
      <c r="B34" s="3" t="s">
        <v>638</v>
      </c>
      <c r="C34" s="3" t="s">
        <v>639</v>
      </c>
      <c r="D34" s="3" t="s">
        <v>640</v>
      </c>
      <c r="E34" s="3" t="s">
        <v>641</v>
      </c>
      <c r="F34" s="3" t="s">
        <v>515</v>
      </c>
      <c r="G34" s="3"/>
    </row>
    <row r="35" customFormat="false" ht="15" hidden="false" customHeight="false" outlineLevel="0" collapsed="false">
      <c r="A35" s="4" t="s">
        <v>642</v>
      </c>
      <c r="B35" s="4" t="s">
        <v>638</v>
      </c>
      <c r="C35" s="4" t="s">
        <v>643</v>
      </c>
      <c r="D35" s="4" t="s">
        <v>644</v>
      </c>
      <c r="E35" s="4" t="s">
        <v>645</v>
      </c>
      <c r="F35" s="4" t="s">
        <v>515</v>
      </c>
      <c r="G35" s="4"/>
    </row>
    <row r="36" customFormat="false" ht="23.85" hidden="false" customHeight="false" outlineLevel="0" collapsed="false">
      <c r="A36" s="3" t="s">
        <v>646</v>
      </c>
      <c r="B36" s="3" t="s">
        <v>647</v>
      </c>
      <c r="C36" s="3" t="s">
        <v>648</v>
      </c>
      <c r="D36" s="3" t="s">
        <v>649</v>
      </c>
      <c r="E36" s="3" t="s">
        <v>650</v>
      </c>
      <c r="F36" s="3" t="s">
        <v>515</v>
      </c>
      <c r="G36" s="3"/>
    </row>
    <row r="37" customFormat="false" ht="15" hidden="false" customHeight="false" outlineLevel="0" collapsed="false">
      <c r="A37" s="4" t="s">
        <v>651</v>
      </c>
      <c r="B37" s="4" t="s">
        <v>647</v>
      </c>
      <c r="C37" s="4" t="s">
        <v>652</v>
      </c>
      <c r="D37" s="4" t="s">
        <v>653</v>
      </c>
      <c r="E37" s="4" t="s">
        <v>654</v>
      </c>
      <c r="F37" s="4" t="s">
        <v>515</v>
      </c>
      <c r="G37" s="4"/>
    </row>
    <row r="38" customFormat="false" ht="15" hidden="false" customHeight="false" outlineLevel="0" collapsed="false">
      <c r="A38" s="3" t="s">
        <v>655</v>
      </c>
      <c r="B38" s="3" t="s">
        <v>647</v>
      </c>
      <c r="C38" s="3" t="s">
        <v>656</v>
      </c>
      <c r="D38" s="3" t="s">
        <v>657</v>
      </c>
      <c r="E38" s="3" t="s">
        <v>658</v>
      </c>
      <c r="F38" s="3" t="s">
        <v>515</v>
      </c>
      <c r="G38" s="3"/>
    </row>
    <row r="39" customFormat="false" ht="15" hidden="false" customHeight="false" outlineLevel="0" collapsed="false">
      <c r="A39" s="4" t="s">
        <v>659</v>
      </c>
      <c r="B39" s="4" t="s">
        <v>647</v>
      </c>
      <c r="C39" s="4" t="s">
        <v>660</v>
      </c>
      <c r="D39" s="4" t="s">
        <v>661</v>
      </c>
      <c r="E39" s="4" t="s">
        <v>662</v>
      </c>
      <c r="F39" s="4" t="s">
        <v>515</v>
      </c>
      <c r="G39" s="4"/>
    </row>
    <row r="40" customFormat="false" ht="15" hidden="false" customHeight="false" outlineLevel="0" collapsed="false">
      <c r="A40" s="3" t="s">
        <v>663</v>
      </c>
      <c r="B40" s="3" t="s">
        <v>647</v>
      </c>
      <c r="C40" s="3" t="s">
        <v>664</v>
      </c>
      <c r="D40" s="3" t="s">
        <v>665</v>
      </c>
      <c r="E40" s="3" t="s">
        <v>666</v>
      </c>
      <c r="F40" s="3" t="s">
        <v>515</v>
      </c>
      <c r="G40" s="3"/>
    </row>
    <row r="41" customFormat="false" ht="15" hidden="false" customHeight="false" outlineLevel="0" collapsed="false">
      <c r="A41" s="4" t="s">
        <v>667</v>
      </c>
      <c r="B41" s="4" t="s">
        <v>668</v>
      </c>
      <c r="C41" s="4" t="s">
        <v>669</v>
      </c>
      <c r="D41" s="4" t="s">
        <v>670</v>
      </c>
      <c r="E41" s="4" t="s">
        <v>671</v>
      </c>
      <c r="F41" s="4" t="s">
        <v>515</v>
      </c>
      <c r="G41" s="4"/>
    </row>
    <row r="42" customFormat="false" ht="15" hidden="false" customHeight="false" outlineLevel="0" collapsed="false">
      <c r="A42" s="3" t="s">
        <v>672</v>
      </c>
      <c r="B42" s="3" t="s">
        <v>668</v>
      </c>
      <c r="C42" s="3" t="s">
        <v>673</v>
      </c>
      <c r="D42" s="3" t="s">
        <v>674</v>
      </c>
      <c r="E42" s="3" t="s">
        <v>675</v>
      </c>
      <c r="F42" s="3" t="s">
        <v>515</v>
      </c>
      <c r="G42" s="3"/>
    </row>
    <row r="43" customFormat="false" ht="15" hidden="false" customHeight="false" outlineLevel="0" collapsed="false">
      <c r="A43" s="4" t="s">
        <v>676</v>
      </c>
      <c r="B43" s="4" t="s">
        <v>677</v>
      </c>
      <c r="C43" s="4" t="s">
        <v>678</v>
      </c>
      <c r="D43" s="4" t="s">
        <v>679</v>
      </c>
      <c r="E43" s="4" t="s">
        <v>680</v>
      </c>
      <c r="F43" s="4" t="s">
        <v>515</v>
      </c>
      <c r="G43" s="4"/>
    </row>
    <row r="44" customFormat="false" ht="15" hidden="false" customHeight="false" outlineLevel="0" collapsed="false">
      <c r="A44" s="3" t="s">
        <v>681</v>
      </c>
      <c r="B44" s="3" t="s">
        <v>677</v>
      </c>
      <c r="C44" s="3" t="s">
        <v>682</v>
      </c>
      <c r="D44" s="3" t="s">
        <v>683</v>
      </c>
      <c r="E44" s="3" t="s">
        <v>684</v>
      </c>
      <c r="F44" s="3" t="s">
        <v>515</v>
      </c>
      <c r="G44" s="3"/>
    </row>
    <row r="45" customFormat="false" ht="15" hidden="false" customHeight="false" outlineLevel="0" collapsed="false">
      <c r="A45" s="4" t="s">
        <v>685</v>
      </c>
      <c r="B45" s="4" t="s">
        <v>686</v>
      </c>
      <c r="C45" s="4" t="s">
        <v>687</v>
      </c>
      <c r="D45" s="4" t="s">
        <v>688</v>
      </c>
      <c r="E45" s="4" t="s">
        <v>689</v>
      </c>
      <c r="F45" s="4" t="s">
        <v>515</v>
      </c>
      <c r="G45" s="4"/>
    </row>
    <row r="46" customFormat="false" ht="15" hidden="false" customHeight="false" outlineLevel="0" collapsed="false">
      <c r="A46" s="3" t="s">
        <v>690</v>
      </c>
      <c r="B46" s="3" t="s">
        <v>686</v>
      </c>
      <c r="C46" s="3" t="s">
        <v>691</v>
      </c>
      <c r="D46" s="3" t="s">
        <v>692</v>
      </c>
      <c r="E46" s="3" t="s">
        <v>693</v>
      </c>
      <c r="F46" s="3" t="s">
        <v>515</v>
      </c>
      <c r="G46" s="3"/>
    </row>
    <row r="47" customFormat="false" ht="15" hidden="false" customHeight="false" outlineLevel="0" collapsed="false">
      <c r="A47" s="4" t="s">
        <v>694</v>
      </c>
      <c r="B47" s="4" t="s">
        <v>686</v>
      </c>
      <c r="C47" s="4" t="s">
        <v>695</v>
      </c>
      <c r="D47" s="4" t="s">
        <v>696</v>
      </c>
      <c r="E47" s="4" t="s">
        <v>697</v>
      </c>
      <c r="F47" s="4" t="s">
        <v>515</v>
      </c>
      <c r="G47" s="4"/>
    </row>
    <row r="48" customFormat="false" ht="15" hidden="false" customHeight="false" outlineLevel="0" collapsed="false">
      <c r="A48" s="3" t="s">
        <v>698</v>
      </c>
      <c r="B48" s="3" t="s">
        <v>699</v>
      </c>
      <c r="C48" s="3" t="s">
        <v>700</v>
      </c>
      <c r="D48" s="3" t="s">
        <v>701</v>
      </c>
      <c r="E48" s="3" t="s">
        <v>702</v>
      </c>
      <c r="F48" s="3" t="s">
        <v>515</v>
      </c>
      <c r="G48" s="3"/>
    </row>
    <row r="49" customFormat="false" ht="15" hidden="false" customHeight="false" outlineLevel="0" collapsed="false">
      <c r="A49" s="4" t="s">
        <v>703</v>
      </c>
      <c r="B49" s="4" t="s">
        <v>699</v>
      </c>
      <c r="C49" s="4" t="s">
        <v>704</v>
      </c>
      <c r="D49" s="4" t="s">
        <v>705</v>
      </c>
      <c r="E49" s="4" t="s">
        <v>706</v>
      </c>
      <c r="F49" s="4" t="s">
        <v>515</v>
      </c>
      <c r="G49" s="4"/>
    </row>
    <row r="50" customFormat="false" ht="15" hidden="false" customHeight="false" outlineLevel="0" collapsed="false">
      <c r="A50" s="3" t="s">
        <v>707</v>
      </c>
      <c r="B50" s="3" t="s">
        <v>708</v>
      </c>
      <c r="C50" s="3" t="s">
        <v>709</v>
      </c>
      <c r="D50" s="3" t="s">
        <v>710</v>
      </c>
      <c r="E50" s="3" t="s">
        <v>711</v>
      </c>
      <c r="F50" s="3" t="s">
        <v>515</v>
      </c>
      <c r="G50" s="3"/>
    </row>
    <row r="51" customFormat="false" ht="15" hidden="false" customHeight="false" outlineLevel="0" collapsed="false">
      <c r="A51" s="4" t="s">
        <v>712</v>
      </c>
      <c r="B51" s="4" t="s">
        <v>708</v>
      </c>
      <c r="C51" s="4" t="s">
        <v>713</v>
      </c>
      <c r="D51" s="4" t="s">
        <v>714</v>
      </c>
      <c r="E51" s="4" t="s">
        <v>715</v>
      </c>
      <c r="F51" s="4" t="s">
        <v>515</v>
      </c>
      <c r="G51" s="4"/>
    </row>
    <row r="52" customFormat="false" ht="23.85" hidden="false" customHeight="false" outlineLevel="0" collapsed="false">
      <c r="A52" s="3" t="s">
        <v>716</v>
      </c>
      <c r="B52" s="3" t="s">
        <v>188</v>
      </c>
      <c r="C52" s="3" t="s">
        <v>717</v>
      </c>
      <c r="D52" s="3" t="s">
        <v>718</v>
      </c>
      <c r="E52" s="3" t="s">
        <v>719</v>
      </c>
      <c r="F52" s="3" t="s">
        <v>515</v>
      </c>
      <c r="G52" s="3"/>
    </row>
    <row r="54" customFormat="false" ht="15" hidden="false" customHeight="false" outlineLevel="0" collapsed="false">
      <c r="B54" s="6" t="s">
        <v>720</v>
      </c>
      <c r="C54" s="7" t="n">
        <f aca="false">COUNTA(A4:A52)</f>
        <v>49</v>
      </c>
    </row>
    <row r="55" customFormat="false" ht="15" hidden="false" customHeight="false" outlineLevel="0" collapsed="false">
      <c r="B55" s="6" t="s">
        <v>721</v>
      </c>
      <c r="C55" s="7" t="n">
        <f aca="false">COUNTIF(F4:F52,"Đạt")</f>
        <v>0</v>
      </c>
    </row>
    <row r="56" customFormat="false" ht="15" hidden="false" customHeight="false" outlineLevel="0" collapsed="false">
      <c r="B56" s="6" t="s">
        <v>722</v>
      </c>
      <c r="C56" s="7" t="n">
        <f aca="false">COUNTIF(F4:F52,"Không đạt")</f>
        <v>0</v>
      </c>
    </row>
    <row r="57" customFormat="false" ht="15" hidden="false" customHeight="false" outlineLevel="0" collapsed="false">
      <c r="B57" s="6" t="s">
        <v>515</v>
      </c>
      <c r="C57" s="7" t="n">
        <f aca="false">COUNTIF(F4:F52,"Chưa kiểm thử")</f>
        <v>49</v>
      </c>
    </row>
    <row r="58" customFormat="false" ht="15" hidden="false" customHeight="false" outlineLevel="0" collapsed="false">
      <c r="B58" s="6" t="s">
        <v>723</v>
      </c>
      <c r="C58" s="8" t="n">
        <f aca="false">IF(C54=0,0,C55/C54)</f>
        <v>0</v>
      </c>
    </row>
  </sheetData>
  <autoFilter ref="A3:G52"/>
  <dataValidations count="1">
    <dataValidation allowBlank="false" errorStyle="stop" operator="between" showDropDown="false" showErrorMessage="false" showInputMessage="false" sqref="F4:F52" type="list">
      <formula1>"Chưa kiểm thử,Đạt,Không đạt"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50"/>
    <col collapsed="false" customWidth="true" hidden="false" outlineLevel="0" max="3" min="3" style="0" width="56"/>
    <col collapsed="false" customWidth="true" hidden="false" outlineLevel="0" max="4" min="4" style="0" width="34"/>
  </cols>
  <sheetData>
    <row r="1" customFormat="false" ht="17.35" hidden="false" customHeight="false" outlineLevel="0" collapsed="false">
      <c r="A1" s="1" t="s">
        <v>724</v>
      </c>
    </row>
    <row r="3" customFormat="false" ht="15" hidden="false" customHeight="false" outlineLevel="0" collapsed="false">
      <c r="A3" s="2" t="s">
        <v>725</v>
      </c>
      <c r="B3" s="2" t="s">
        <v>726</v>
      </c>
      <c r="C3" s="2" t="s">
        <v>727</v>
      </c>
      <c r="D3" s="2" t="s">
        <v>728</v>
      </c>
    </row>
    <row r="4" customFormat="false" ht="15" hidden="false" customHeight="false" outlineLevel="0" collapsed="false">
      <c r="A4" s="3" t="s">
        <v>729</v>
      </c>
      <c r="B4" s="3" t="s">
        <v>730</v>
      </c>
      <c r="C4" s="3" t="s">
        <v>731</v>
      </c>
      <c r="D4" s="3" t="s">
        <v>732</v>
      </c>
    </row>
    <row r="5" customFormat="false" ht="15" hidden="false" customHeight="false" outlineLevel="0" collapsed="false">
      <c r="A5" s="4" t="s">
        <v>733</v>
      </c>
      <c r="B5" s="4" t="s">
        <v>734</v>
      </c>
      <c r="C5" s="4" t="s">
        <v>735</v>
      </c>
      <c r="D5" s="4" t="s">
        <v>736</v>
      </c>
    </row>
    <row r="6" customFormat="false" ht="23.85" hidden="false" customHeight="false" outlineLevel="0" collapsed="false">
      <c r="A6" s="3" t="s">
        <v>737</v>
      </c>
      <c r="B6" s="3" t="s">
        <v>738</v>
      </c>
      <c r="C6" s="3" t="s">
        <v>739</v>
      </c>
      <c r="D6" s="3" t="s">
        <v>85</v>
      </c>
    </row>
    <row r="7" customFormat="false" ht="15" hidden="false" customHeight="false" outlineLevel="0" collapsed="false">
      <c r="A7" s="4" t="s">
        <v>740</v>
      </c>
      <c r="B7" s="4" t="s">
        <v>741</v>
      </c>
      <c r="C7" s="4" t="s">
        <v>742</v>
      </c>
      <c r="D7" s="4" t="s">
        <v>102</v>
      </c>
    </row>
    <row r="8" customFormat="false" ht="15" hidden="false" customHeight="false" outlineLevel="0" collapsed="false">
      <c r="A8" s="3" t="s">
        <v>743</v>
      </c>
      <c r="B8" s="3" t="s">
        <v>744</v>
      </c>
      <c r="C8" s="3" t="s">
        <v>745</v>
      </c>
      <c r="D8" s="3" t="s">
        <v>75</v>
      </c>
    </row>
    <row r="9" customFormat="false" ht="15" hidden="false" customHeight="false" outlineLevel="0" collapsed="false">
      <c r="A9" s="4" t="s">
        <v>746</v>
      </c>
      <c r="B9" s="4" t="s">
        <v>747</v>
      </c>
      <c r="C9" s="4" t="s">
        <v>748</v>
      </c>
      <c r="D9" s="4" t="s">
        <v>749</v>
      </c>
    </row>
    <row r="10" customFormat="false" ht="15" hidden="false" customHeight="false" outlineLevel="0" collapsed="false">
      <c r="A10" s="3" t="s">
        <v>750</v>
      </c>
      <c r="B10" s="3" t="s">
        <v>751</v>
      </c>
      <c r="C10" s="3" t="s">
        <v>752</v>
      </c>
      <c r="D10" s="3" t="s">
        <v>753</v>
      </c>
    </row>
    <row r="11" customFormat="false" ht="15" hidden="false" customHeight="false" outlineLevel="0" collapsed="false">
      <c r="A11" s="4" t="s">
        <v>754</v>
      </c>
      <c r="B11" s="4" t="s">
        <v>755</v>
      </c>
      <c r="C11" s="4" t="s">
        <v>756</v>
      </c>
      <c r="D11" s="4" t="s">
        <v>130</v>
      </c>
    </row>
    <row r="12" customFormat="false" ht="15" hidden="false" customHeight="false" outlineLevel="0" collapsed="false">
      <c r="A12" s="3" t="s">
        <v>757</v>
      </c>
      <c r="B12" s="3" t="s">
        <v>758</v>
      </c>
      <c r="C12" s="3" t="s">
        <v>759</v>
      </c>
      <c r="D12" s="3" t="s">
        <v>121</v>
      </c>
    </row>
    <row r="13" customFormat="false" ht="23.85" hidden="false" customHeight="false" outlineLevel="0" collapsed="false">
      <c r="A13" s="4" t="s">
        <v>760</v>
      </c>
      <c r="B13" s="4" t="s">
        <v>761</v>
      </c>
      <c r="C13" s="4" t="s">
        <v>762</v>
      </c>
      <c r="D13" s="4" t="s">
        <v>763</v>
      </c>
    </row>
    <row r="14" customFormat="false" ht="15" hidden="false" customHeight="false" outlineLevel="0" collapsed="false">
      <c r="A14" s="3" t="s">
        <v>764</v>
      </c>
      <c r="B14" s="3" t="s">
        <v>765</v>
      </c>
      <c r="C14" s="3" t="s">
        <v>766</v>
      </c>
      <c r="D14" s="3" t="s">
        <v>150</v>
      </c>
    </row>
    <row r="15" customFormat="false" ht="23.85" hidden="false" customHeight="false" outlineLevel="0" collapsed="false">
      <c r="A15" s="4" t="s">
        <v>767</v>
      </c>
      <c r="B15" s="4" t="s">
        <v>111</v>
      </c>
      <c r="C15" s="4" t="s">
        <v>768</v>
      </c>
      <c r="D15" s="4" t="s">
        <v>111</v>
      </c>
    </row>
  </sheetData>
  <autoFilter ref="A3:D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D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28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769</v>
      </c>
    </row>
    <row r="2" customFormat="false" ht="15" hidden="false" customHeight="false" outlineLevel="0" collapsed="false">
      <c r="A2" s="5" t="s">
        <v>770</v>
      </c>
    </row>
    <row r="3" customFormat="false" ht="15" hidden="false" customHeight="false" outlineLevel="0" collapsed="false">
      <c r="A3" s="2" t="s">
        <v>771</v>
      </c>
      <c r="B3" s="2" t="s">
        <v>772</v>
      </c>
      <c r="C3" s="2" t="s">
        <v>773</v>
      </c>
      <c r="D3" s="2" t="s">
        <v>774</v>
      </c>
    </row>
    <row r="4" customFormat="false" ht="15" hidden="false" customHeight="false" outlineLevel="0" collapsed="false">
      <c r="A4" s="3" t="s">
        <v>775</v>
      </c>
      <c r="B4" s="3" t="s">
        <v>776</v>
      </c>
      <c r="C4" s="3" t="s">
        <v>777</v>
      </c>
      <c r="D4" s="3" t="s">
        <v>778</v>
      </c>
    </row>
    <row r="5" customFormat="false" ht="15" hidden="false" customHeight="false" outlineLevel="0" collapsed="false">
      <c r="A5" s="4" t="s">
        <v>775</v>
      </c>
      <c r="B5" s="4" t="s">
        <v>779</v>
      </c>
      <c r="C5" s="4" t="s">
        <v>780</v>
      </c>
      <c r="D5" s="4" t="s">
        <v>781</v>
      </c>
    </row>
    <row r="6" customFormat="false" ht="15" hidden="false" customHeight="false" outlineLevel="0" collapsed="false">
      <c r="A6" s="3" t="s">
        <v>775</v>
      </c>
      <c r="B6" s="3" t="s">
        <v>782</v>
      </c>
      <c r="C6" s="3" t="s">
        <v>783</v>
      </c>
      <c r="D6" s="3" t="s">
        <v>784</v>
      </c>
    </row>
    <row r="7" customFormat="false" ht="15" hidden="false" customHeight="false" outlineLevel="0" collapsed="false">
      <c r="A7" s="4" t="s">
        <v>775</v>
      </c>
      <c r="B7" s="4" t="s">
        <v>785</v>
      </c>
      <c r="C7" s="4" t="s">
        <v>786</v>
      </c>
      <c r="D7" s="4" t="s">
        <v>784</v>
      </c>
    </row>
    <row r="8" customFormat="false" ht="15" hidden="false" customHeight="false" outlineLevel="0" collapsed="false">
      <c r="A8" s="3" t="s">
        <v>775</v>
      </c>
      <c r="B8" s="3" t="s">
        <v>787</v>
      </c>
      <c r="C8" s="3" t="s">
        <v>788</v>
      </c>
      <c r="D8" s="3" t="s">
        <v>789</v>
      </c>
    </row>
    <row r="9" customFormat="false" ht="15" hidden="false" customHeight="false" outlineLevel="0" collapsed="false">
      <c r="A9" s="4" t="s">
        <v>775</v>
      </c>
      <c r="B9" s="4" t="s">
        <v>790</v>
      </c>
      <c r="C9" s="4" t="s">
        <v>791</v>
      </c>
      <c r="D9" s="4" t="s">
        <v>784</v>
      </c>
    </row>
    <row r="10" customFormat="false" ht="15" hidden="false" customHeight="false" outlineLevel="0" collapsed="false">
      <c r="A10" s="3" t="s">
        <v>792</v>
      </c>
      <c r="B10" s="3" t="s">
        <v>793</v>
      </c>
      <c r="C10" s="3" t="s">
        <v>777</v>
      </c>
      <c r="D10" s="3" t="s">
        <v>778</v>
      </c>
    </row>
    <row r="11" customFormat="false" ht="15" hidden="false" customHeight="false" outlineLevel="0" collapsed="false">
      <c r="A11" s="4" t="s">
        <v>792</v>
      </c>
      <c r="B11" s="4" t="s">
        <v>794</v>
      </c>
      <c r="C11" s="4" t="s">
        <v>777</v>
      </c>
      <c r="D11" s="4" t="s">
        <v>795</v>
      </c>
    </row>
    <row r="12" customFormat="false" ht="15" hidden="false" customHeight="false" outlineLevel="0" collapsed="false">
      <c r="A12" s="3" t="s">
        <v>792</v>
      </c>
      <c r="B12" s="3" t="s">
        <v>796</v>
      </c>
      <c r="C12" s="3" t="s">
        <v>797</v>
      </c>
      <c r="D12" s="3" t="s">
        <v>781</v>
      </c>
    </row>
    <row r="13" customFormat="false" ht="15" hidden="false" customHeight="false" outlineLevel="0" collapsed="false">
      <c r="A13" s="4" t="s">
        <v>792</v>
      </c>
      <c r="B13" s="4" t="s">
        <v>798</v>
      </c>
      <c r="C13" s="4" t="s">
        <v>799</v>
      </c>
      <c r="D13" s="4"/>
    </row>
    <row r="14" customFormat="false" ht="15" hidden="false" customHeight="false" outlineLevel="0" collapsed="false">
      <c r="A14" s="3" t="s">
        <v>800</v>
      </c>
      <c r="B14" s="3" t="s">
        <v>801</v>
      </c>
      <c r="C14" s="3" t="s">
        <v>777</v>
      </c>
      <c r="D14" s="3" t="s">
        <v>778</v>
      </c>
    </row>
    <row r="15" customFormat="false" ht="15" hidden="false" customHeight="false" outlineLevel="0" collapsed="false">
      <c r="A15" s="4" t="s">
        <v>800</v>
      </c>
      <c r="B15" s="4" t="s">
        <v>802</v>
      </c>
      <c r="C15" s="4" t="s">
        <v>803</v>
      </c>
      <c r="D15" s="4" t="s">
        <v>781</v>
      </c>
    </row>
    <row r="16" customFormat="false" ht="15" hidden="false" customHeight="false" outlineLevel="0" collapsed="false">
      <c r="A16" s="3" t="s">
        <v>800</v>
      </c>
      <c r="B16" s="3" t="s">
        <v>793</v>
      </c>
      <c r="C16" s="3" t="s">
        <v>777</v>
      </c>
      <c r="D16" s="3" t="s">
        <v>804</v>
      </c>
    </row>
    <row r="17" customFormat="false" ht="15" hidden="false" customHeight="false" outlineLevel="0" collapsed="false">
      <c r="A17" s="4" t="s">
        <v>800</v>
      </c>
      <c r="B17" s="4" t="s">
        <v>805</v>
      </c>
      <c r="C17" s="4" t="s">
        <v>806</v>
      </c>
      <c r="D17" s="4" t="s">
        <v>807</v>
      </c>
    </row>
    <row r="18" customFormat="false" ht="15" hidden="false" customHeight="false" outlineLevel="0" collapsed="false">
      <c r="A18" s="3" t="s">
        <v>800</v>
      </c>
      <c r="B18" s="3" t="s">
        <v>808</v>
      </c>
      <c r="C18" s="3" t="s">
        <v>788</v>
      </c>
      <c r="D18" s="3" t="s">
        <v>784</v>
      </c>
    </row>
    <row r="19" customFormat="false" ht="15" hidden="false" customHeight="false" outlineLevel="0" collapsed="false">
      <c r="A19" s="4" t="s">
        <v>800</v>
      </c>
      <c r="B19" s="4" t="s">
        <v>809</v>
      </c>
      <c r="C19" s="4" t="s">
        <v>810</v>
      </c>
      <c r="D19" s="4" t="s">
        <v>811</v>
      </c>
    </row>
    <row r="20" customFormat="false" ht="15" hidden="false" customHeight="false" outlineLevel="0" collapsed="false">
      <c r="A20" s="3" t="s">
        <v>800</v>
      </c>
      <c r="B20" s="3" t="s">
        <v>812</v>
      </c>
      <c r="C20" s="3" t="s">
        <v>788</v>
      </c>
      <c r="D20" s="3" t="s">
        <v>784</v>
      </c>
    </row>
    <row r="21" customFormat="false" ht="15" hidden="false" customHeight="false" outlineLevel="0" collapsed="false">
      <c r="A21" s="4" t="s">
        <v>813</v>
      </c>
      <c r="B21" s="4" t="s">
        <v>814</v>
      </c>
      <c r="C21" s="4" t="s">
        <v>777</v>
      </c>
      <c r="D21" s="4" t="s">
        <v>778</v>
      </c>
    </row>
    <row r="22" customFormat="false" ht="15" hidden="false" customHeight="false" outlineLevel="0" collapsed="false">
      <c r="A22" s="3" t="s">
        <v>813</v>
      </c>
      <c r="B22" s="3" t="s">
        <v>815</v>
      </c>
      <c r="C22" s="3" t="s">
        <v>816</v>
      </c>
      <c r="D22" s="3" t="s">
        <v>784</v>
      </c>
    </row>
    <row r="23" customFormat="false" ht="15" hidden="false" customHeight="false" outlineLevel="0" collapsed="false">
      <c r="A23" s="4" t="s">
        <v>813</v>
      </c>
      <c r="B23" s="4" t="s">
        <v>817</v>
      </c>
      <c r="C23" s="4" t="s">
        <v>818</v>
      </c>
      <c r="D23" s="4" t="s">
        <v>781</v>
      </c>
    </row>
    <row r="24" customFormat="false" ht="15" hidden="false" customHeight="false" outlineLevel="0" collapsed="false">
      <c r="A24" s="3" t="s">
        <v>813</v>
      </c>
      <c r="B24" s="3" t="s">
        <v>819</v>
      </c>
      <c r="C24" s="3" t="s">
        <v>799</v>
      </c>
      <c r="D24" s="3"/>
    </row>
    <row r="25" customFormat="false" ht="15" hidden="false" customHeight="false" outlineLevel="0" collapsed="false">
      <c r="A25" s="4" t="s">
        <v>813</v>
      </c>
      <c r="B25" s="4" t="s">
        <v>820</v>
      </c>
      <c r="C25" s="4" t="s">
        <v>821</v>
      </c>
      <c r="D25" s="4"/>
    </row>
    <row r="26" customFormat="false" ht="15" hidden="false" customHeight="false" outlineLevel="0" collapsed="false">
      <c r="A26" s="3" t="s">
        <v>813</v>
      </c>
      <c r="B26" s="3" t="s">
        <v>271</v>
      </c>
      <c r="C26" s="3" t="s">
        <v>786</v>
      </c>
      <c r="D26" s="3"/>
    </row>
    <row r="27" customFormat="false" ht="15" hidden="false" customHeight="false" outlineLevel="0" collapsed="false">
      <c r="A27" s="4" t="s">
        <v>813</v>
      </c>
      <c r="B27" s="4" t="s">
        <v>822</v>
      </c>
      <c r="C27" s="4" t="s">
        <v>786</v>
      </c>
      <c r="D27" s="4"/>
    </row>
    <row r="28" customFormat="false" ht="15" hidden="false" customHeight="false" outlineLevel="0" collapsed="false">
      <c r="A28" s="3" t="s">
        <v>823</v>
      </c>
      <c r="B28" s="3" t="s">
        <v>824</v>
      </c>
      <c r="C28" s="3" t="s">
        <v>777</v>
      </c>
      <c r="D28" s="3" t="s">
        <v>778</v>
      </c>
    </row>
    <row r="29" customFormat="false" ht="15" hidden="false" customHeight="false" outlineLevel="0" collapsed="false">
      <c r="A29" s="4" t="s">
        <v>823</v>
      </c>
      <c r="B29" s="4" t="s">
        <v>785</v>
      </c>
      <c r="C29" s="4" t="s">
        <v>786</v>
      </c>
      <c r="D29" s="4" t="s">
        <v>784</v>
      </c>
    </row>
    <row r="30" customFormat="false" ht="15" hidden="false" customHeight="false" outlineLevel="0" collapsed="false">
      <c r="A30" s="3" t="s">
        <v>823</v>
      </c>
      <c r="B30" s="3" t="s">
        <v>825</v>
      </c>
      <c r="C30" s="3" t="s">
        <v>826</v>
      </c>
      <c r="D30" s="3" t="s">
        <v>781</v>
      </c>
    </row>
    <row r="31" customFormat="false" ht="15" hidden="false" customHeight="false" outlineLevel="0" collapsed="false">
      <c r="A31" s="4" t="s">
        <v>823</v>
      </c>
      <c r="B31" s="4" t="s">
        <v>820</v>
      </c>
      <c r="C31" s="4" t="s">
        <v>821</v>
      </c>
      <c r="D31" s="4" t="s">
        <v>784</v>
      </c>
    </row>
    <row r="32" customFormat="false" ht="15" hidden="false" customHeight="false" outlineLevel="0" collapsed="false">
      <c r="A32" s="3" t="s">
        <v>823</v>
      </c>
      <c r="B32" s="3" t="s">
        <v>271</v>
      </c>
      <c r="C32" s="3" t="s">
        <v>786</v>
      </c>
      <c r="D32" s="3"/>
    </row>
    <row r="33" customFormat="false" ht="15" hidden="false" customHeight="false" outlineLevel="0" collapsed="false">
      <c r="A33" s="4" t="s">
        <v>823</v>
      </c>
      <c r="B33" s="4" t="s">
        <v>819</v>
      </c>
      <c r="C33" s="4" t="s">
        <v>799</v>
      </c>
      <c r="D33" s="4"/>
    </row>
    <row r="34" customFormat="false" ht="15" hidden="false" customHeight="false" outlineLevel="0" collapsed="false">
      <c r="A34" s="3" t="s">
        <v>823</v>
      </c>
      <c r="B34" s="3" t="s">
        <v>814</v>
      </c>
      <c r="C34" s="3" t="s">
        <v>777</v>
      </c>
      <c r="D34" s="3" t="s">
        <v>827</v>
      </c>
    </row>
    <row r="35" customFormat="false" ht="15" hidden="false" customHeight="false" outlineLevel="0" collapsed="false">
      <c r="A35" s="4" t="s">
        <v>203</v>
      </c>
      <c r="B35" s="4" t="s">
        <v>828</v>
      </c>
      <c r="C35" s="4" t="s">
        <v>777</v>
      </c>
      <c r="D35" s="4" t="s">
        <v>778</v>
      </c>
    </row>
    <row r="36" customFormat="false" ht="15" hidden="false" customHeight="false" outlineLevel="0" collapsed="false">
      <c r="A36" s="3" t="s">
        <v>203</v>
      </c>
      <c r="B36" s="3" t="s">
        <v>829</v>
      </c>
      <c r="C36" s="3" t="s">
        <v>818</v>
      </c>
      <c r="D36" s="3" t="s">
        <v>781</v>
      </c>
    </row>
    <row r="37" customFormat="false" ht="15" hidden="false" customHeight="false" outlineLevel="0" collapsed="false">
      <c r="A37" s="4" t="s">
        <v>203</v>
      </c>
      <c r="B37" s="4" t="s">
        <v>824</v>
      </c>
      <c r="C37" s="4" t="s">
        <v>777</v>
      </c>
      <c r="D37" s="4" t="s">
        <v>830</v>
      </c>
    </row>
    <row r="38" customFormat="false" ht="15" hidden="false" customHeight="false" outlineLevel="0" collapsed="false">
      <c r="A38" s="3" t="s">
        <v>203</v>
      </c>
      <c r="B38" s="3" t="s">
        <v>831</v>
      </c>
      <c r="C38" s="3" t="s">
        <v>832</v>
      </c>
      <c r="D38" s="3" t="s">
        <v>784</v>
      </c>
    </row>
    <row r="39" customFormat="false" ht="15" hidden="false" customHeight="false" outlineLevel="0" collapsed="false">
      <c r="A39" s="4" t="s">
        <v>203</v>
      </c>
      <c r="B39" s="4" t="s">
        <v>833</v>
      </c>
      <c r="C39" s="4" t="s">
        <v>832</v>
      </c>
      <c r="D39" s="4" t="s">
        <v>784</v>
      </c>
    </row>
    <row r="40" customFormat="false" ht="15" hidden="false" customHeight="false" outlineLevel="0" collapsed="false">
      <c r="A40" s="3" t="s">
        <v>203</v>
      </c>
      <c r="B40" s="3" t="s">
        <v>834</v>
      </c>
      <c r="C40" s="3" t="s">
        <v>777</v>
      </c>
      <c r="D40" s="3" t="s">
        <v>835</v>
      </c>
    </row>
    <row r="41" customFormat="false" ht="15" hidden="false" customHeight="false" outlineLevel="0" collapsed="false">
      <c r="A41" s="4" t="s">
        <v>203</v>
      </c>
      <c r="B41" s="4" t="s">
        <v>836</v>
      </c>
      <c r="C41" s="4" t="s">
        <v>832</v>
      </c>
      <c r="D41" s="4" t="s">
        <v>784</v>
      </c>
    </row>
    <row r="42" customFormat="false" ht="15" hidden="false" customHeight="false" outlineLevel="0" collapsed="false">
      <c r="A42" s="3" t="s">
        <v>203</v>
      </c>
      <c r="B42" s="3" t="s">
        <v>812</v>
      </c>
      <c r="C42" s="3" t="s">
        <v>788</v>
      </c>
      <c r="D42" s="3" t="s">
        <v>784</v>
      </c>
    </row>
    <row r="43" customFormat="false" ht="15" hidden="false" customHeight="false" outlineLevel="0" collapsed="false">
      <c r="A43" s="4" t="s">
        <v>203</v>
      </c>
      <c r="B43" s="4" t="s">
        <v>837</v>
      </c>
      <c r="C43" s="4" t="s">
        <v>838</v>
      </c>
      <c r="D43" s="4"/>
    </row>
    <row r="44" customFormat="false" ht="15" hidden="false" customHeight="false" outlineLevel="0" collapsed="false">
      <c r="A44" s="3" t="s">
        <v>324</v>
      </c>
      <c r="B44" s="3" t="s">
        <v>828</v>
      </c>
      <c r="C44" s="3" t="s">
        <v>777</v>
      </c>
      <c r="D44" s="3" t="s">
        <v>839</v>
      </c>
    </row>
    <row r="45" customFormat="false" ht="15" hidden="false" customHeight="false" outlineLevel="0" collapsed="false">
      <c r="A45" s="4" t="s">
        <v>324</v>
      </c>
      <c r="B45" s="4" t="s">
        <v>801</v>
      </c>
      <c r="C45" s="4" t="s">
        <v>777</v>
      </c>
      <c r="D45" s="4" t="s">
        <v>840</v>
      </c>
    </row>
    <row r="46" customFormat="false" ht="15" hidden="false" customHeight="false" outlineLevel="0" collapsed="false">
      <c r="A46" s="3" t="s">
        <v>324</v>
      </c>
      <c r="B46" s="3" t="s">
        <v>809</v>
      </c>
      <c r="C46" s="3" t="s">
        <v>810</v>
      </c>
      <c r="D46" s="3" t="s">
        <v>811</v>
      </c>
    </row>
    <row r="47" customFormat="false" ht="15" hidden="false" customHeight="false" outlineLevel="0" collapsed="false">
      <c r="A47" s="4" t="s">
        <v>341</v>
      </c>
      <c r="B47" s="4" t="s">
        <v>841</v>
      </c>
      <c r="C47" s="4" t="s">
        <v>777</v>
      </c>
      <c r="D47" s="4" t="s">
        <v>778</v>
      </c>
    </row>
    <row r="48" customFormat="false" ht="15" hidden="false" customHeight="false" outlineLevel="0" collapsed="false">
      <c r="A48" s="3" t="s">
        <v>341</v>
      </c>
      <c r="B48" s="3" t="s">
        <v>842</v>
      </c>
      <c r="C48" s="3" t="s">
        <v>818</v>
      </c>
      <c r="D48" s="3" t="s">
        <v>781</v>
      </c>
    </row>
    <row r="49" customFormat="false" ht="15" hidden="false" customHeight="false" outlineLevel="0" collapsed="false">
      <c r="A49" s="4" t="s">
        <v>341</v>
      </c>
      <c r="B49" s="4" t="s">
        <v>828</v>
      </c>
      <c r="C49" s="4" t="s">
        <v>777</v>
      </c>
      <c r="D49" s="4" t="s">
        <v>839</v>
      </c>
    </row>
    <row r="50" customFormat="false" ht="15" hidden="false" customHeight="false" outlineLevel="0" collapsed="false">
      <c r="A50" s="3" t="s">
        <v>341</v>
      </c>
      <c r="B50" s="3" t="s">
        <v>843</v>
      </c>
      <c r="C50" s="3" t="s">
        <v>832</v>
      </c>
      <c r="D50" s="3" t="s">
        <v>784</v>
      </c>
    </row>
    <row r="51" customFormat="false" ht="15" hidden="false" customHeight="false" outlineLevel="0" collapsed="false">
      <c r="A51" s="4" t="s">
        <v>341</v>
      </c>
      <c r="B51" s="4" t="s">
        <v>844</v>
      </c>
      <c r="C51" s="4" t="s">
        <v>777</v>
      </c>
      <c r="D51" s="4" t="s">
        <v>845</v>
      </c>
    </row>
    <row r="52" customFormat="false" ht="15" hidden="false" customHeight="false" outlineLevel="0" collapsed="false">
      <c r="A52" s="3" t="s">
        <v>341</v>
      </c>
      <c r="B52" s="3" t="s">
        <v>846</v>
      </c>
      <c r="C52" s="3" t="s">
        <v>832</v>
      </c>
      <c r="D52" s="3" t="s">
        <v>784</v>
      </c>
    </row>
    <row r="53" customFormat="false" ht="15" hidden="false" customHeight="false" outlineLevel="0" collapsed="false">
      <c r="A53" s="4" t="s">
        <v>341</v>
      </c>
      <c r="B53" s="4" t="s">
        <v>847</v>
      </c>
      <c r="C53" s="4" t="s">
        <v>832</v>
      </c>
      <c r="D53" s="4" t="s">
        <v>784</v>
      </c>
    </row>
    <row r="54" customFormat="false" ht="15" hidden="false" customHeight="false" outlineLevel="0" collapsed="false">
      <c r="A54" s="3" t="s">
        <v>341</v>
      </c>
      <c r="B54" s="3" t="s">
        <v>848</v>
      </c>
      <c r="C54" s="3" t="s">
        <v>786</v>
      </c>
      <c r="D54" s="3"/>
    </row>
    <row r="55" customFormat="false" ht="15" hidden="false" customHeight="false" outlineLevel="0" collapsed="false">
      <c r="A55" s="4" t="s">
        <v>341</v>
      </c>
      <c r="B55" s="4" t="s">
        <v>837</v>
      </c>
      <c r="C55" s="4" t="s">
        <v>838</v>
      </c>
      <c r="D55" s="4"/>
    </row>
    <row r="56" customFormat="false" ht="15" hidden="false" customHeight="false" outlineLevel="0" collapsed="false">
      <c r="A56" s="3" t="s">
        <v>849</v>
      </c>
      <c r="B56" s="3" t="s">
        <v>841</v>
      </c>
      <c r="C56" s="3" t="s">
        <v>777</v>
      </c>
      <c r="D56" s="3" t="s">
        <v>850</v>
      </c>
    </row>
    <row r="57" customFormat="false" ht="15" hidden="false" customHeight="false" outlineLevel="0" collapsed="false">
      <c r="A57" s="4" t="s">
        <v>849</v>
      </c>
      <c r="B57" s="4" t="s">
        <v>801</v>
      </c>
      <c r="C57" s="4" t="s">
        <v>777</v>
      </c>
      <c r="D57" s="4" t="s">
        <v>840</v>
      </c>
    </row>
    <row r="58" customFormat="false" ht="15" hidden="false" customHeight="false" outlineLevel="0" collapsed="false">
      <c r="A58" s="3" t="s">
        <v>205</v>
      </c>
      <c r="B58" s="3" t="s">
        <v>851</v>
      </c>
      <c r="C58" s="3" t="s">
        <v>777</v>
      </c>
      <c r="D58" s="3" t="s">
        <v>778</v>
      </c>
    </row>
    <row r="59" customFormat="false" ht="15" hidden="false" customHeight="false" outlineLevel="0" collapsed="false">
      <c r="A59" s="4" t="s">
        <v>205</v>
      </c>
      <c r="B59" s="4" t="s">
        <v>828</v>
      </c>
      <c r="C59" s="4" t="s">
        <v>777</v>
      </c>
      <c r="D59" s="4" t="s">
        <v>839</v>
      </c>
    </row>
    <row r="60" customFormat="false" ht="15" hidden="false" customHeight="false" outlineLevel="0" collapsed="false">
      <c r="A60" s="3" t="s">
        <v>205</v>
      </c>
      <c r="B60" s="3" t="s">
        <v>852</v>
      </c>
      <c r="C60" s="3" t="s">
        <v>777</v>
      </c>
      <c r="D60" s="3" t="s">
        <v>853</v>
      </c>
    </row>
    <row r="61" customFormat="false" ht="15" hidden="false" customHeight="false" outlineLevel="0" collapsed="false">
      <c r="A61" s="4" t="s">
        <v>205</v>
      </c>
      <c r="B61" s="4" t="s">
        <v>854</v>
      </c>
      <c r="C61" s="4" t="s">
        <v>777</v>
      </c>
      <c r="D61" s="4" t="s">
        <v>784</v>
      </c>
    </row>
    <row r="62" customFormat="false" ht="15" hidden="false" customHeight="false" outlineLevel="0" collapsed="false">
      <c r="A62" s="3" t="s">
        <v>205</v>
      </c>
      <c r="B62" s="3" t="s">
        <v>855</v>
      </c>
      <c r="C62" s="3" t="s">
        <v>777</v>
      </c>
      <c r="D62" s="3" t="s">
        <v>784</v>
      </c>
    </row>
    <row r="63" customFormat="false" ht="15" hidden="false" customHeight="false" outlineLevel="0" collapsed="false">
      <c r="A63" s="4" t="s">
        <v>205</v>
      </c>
      <c r="B63" s="4" t="s">
        <v>856</v>
      </c>
      <c r="C63" s="4" t="s">
        <v>810</v>
      </c>
      <c r="D63" s="4" t="s">
        <v>857</v>
      </c>
    </row>
    <row r="64" customFormat="false" ht="15" hidden="false" customHeight="false" outlineLevel="0" collapsed="false">
      <c r="A64" s="3" t="s">
        <v>205</v>
      </c>
      <c r="B64" s="3" t="s">
        <v>858</v>
      </c>
      <c r="C64" s="3" t="s">
        <v>832</v>
      </c>
      <c r="D64" s="3" t="s">
        <v>784</v>
      </c>
    </row>
    <row r="65" customFormat="false" ht="15" hidden="false" customHeight="false" outlineLevel="0" collapsed="false">
      <c r="A65" s="4" t="s">
        <v>205</v>
      </c>
      <c r="B65" s="4" t="s">
        <v>859</v>
      </c>
      <c r="C65" s="4" t="s">
        <v>832</v>
      </c>
      <c r="D65" s="4"/>
    </row>
    <row r="66" customFormat="false" ht="15" hidden="false" customHeight="false" outlineLevel="0" collapsed="false">
      <c r="A66" s="3" t="s">
        <v>205</v>
      </c>
      <c r="B66" s="3" t="s">
        <v>812</v>
      </c>
      <c r="C66" s="3" t="s">
        <v>788</v>
      </c>
      <c r="D66" s="3" t="s">
        <v>784</v>
      </c>
    </row>
    <row r="67" customFormat="false" ht="15" hidden="false" customHeight="false" outlineLevel="0" collapsed="false">
      <c r="A67" s="4" t="s">
        <v>377</v>
      </c>
      <c r="B67" s="4" t="s">
        <v>860</v>
      </c>
      <c r="C67" s="4" t="s">
        <v>777</v>
      </c>
      <c r="D67" s="4" t="s">
        <v>778</v>
      </c>
    </row>
    <row r="68" customFormat="false" ht="15" hidden="false" customHeight="false" outlineLevel="0" collapsed="false">
      <c r="A68" s="3" t="s">
        <v>377</v>
      </c>
      <c r="B68" s="3" t="s">
        <v>861</v>
      </c>
      <c r="C68" s="3" t="s">
        <v>786</v>
      </c>
      <c r="D68" s="3" t="s">
        <v>781</v>
      </c>
    </row>
    <row r="69" customFormat="false" ht="15" hidden="false" customHeight="false" outlineLevel="0" collapsed="false">
      <c r="A69" s="4" t="s">
        <v>377</v>
      </c>
      <c r="B69" s="4" t="s">
        <v>862</v>
      </c>
      <c r="C69" s="4" t="s">
        <v>788</v>
      </c>
      <c r="D69" s="4" t="s">
        <v>784</v>
      </c>
    </row>
    <row r="70" customFormat="false" ht="15" hidden="false" customHeight="false" outlineLevel="0" collapsed="false">
      <c r="A70" s="3" t="s">
        <v>377</v>
      </c>
      <c r="B70" s="3" t="s">
        <v>863</v>
      </c>
      <c r="C70" s="3" t="s">
        <v>810</v>
      </c>
      <c r="D70" s="3" t="s">
        <v>864</v>
      </c>
    </row>
    <row r="71" customFormat="false" ht="15" hidden="false" customHeight="false" outlineLevel="0" collapsed="false">
      <c r="A71" s="4" t="s">
        <v>377</v>
      </c>
      <c r="B71" s="4" t="s">
        <v>865</v>
      </c>
      <c r="C71" s="4" t="s">
        <v>788</v>
      </c>
      <c r="D71" s="4" t="s">
        <v>866</v>
      </c>
    </row>
    <row r="72" customFormat="false" ht="15" hidden="false" customHeight="false" outlineLevel="0" collapsed="false">
      <c r="A72" s="3" t="s">
        <v>397</v>
      </c>
      <c r="B72" s="3" t="s">
        <v>867</v>
      </c>
      <c r="C72" s="3" t="s">
        <v>777</v>
      </c>
      <c r="D72" s="3" t="s">
        <v>778</v>
      </c>
    </row>
    <row r="73" customFormat="false" ht="15" hidden="false" customHeight="false" outlineLevel="0" collapsed="false">
      <c r="A73" s="4" t="s">
        <v>397</v>
      </c>
      <c r="B73" s="4" t="s">
        <v>828</v>
      </c>
      <c r="C73" s="4" t="s">
        <v>777</v>
      </c>
      <c r="D73" s="4" t="s">
        <v>839</v>
      </c>
    </row>
    <row r="74" customFormat="false" ht="15" hidden="false" customHeight="false" outlineLevel="0" collapsed="false">
      <c r="A74" s="3" t="s">
        <v>397</v>
      </c>
      <c r="B74" s="3" t="s">
        <v>868</v>
      </c>
      <c r="C74" s="3" t="s">
        <v>777</v>
      </c>
      <c r="D74" s="3" t="s">
        <v>869</v>
      </c>
    </row>
    <row r="75" customFormat="false" ht="15" hidden="false" customHeight="false" outlineLevel="0" collapsed="false">
      <c r="A75" s="4" t="s">
        <v>397</v>
      </c>
      <c r="B75" s="4" t="s">
        <v>870</v>
      </c>
      <c r="C75" s="4" t="s">
        <v>777</v>
      </c>
      <c r="D75" s="4" t="s">
        <v>871</v>
      </c>
    </row>
    <row r="76" customFormat="false" ht="15" hidden="false" customHeight="false" outlineLevel="0" collapsed="false">
      <c r="A76" s="3" t="s">
        <v>397</v>
      </c>
      <c r="B76" s="3" t="s">
        <v>843</v>
      </c>
      <c r="C76" s="3" t="s">
        <v>832</v>
      </c>
      <c r="D76" s="3" t="s">
        <v>784</v>
      </c>
    </row>
    <row r="77" customFormat="false" ht="15" hidden="false" customHeight="false" outlineLevel="0" collapsed="false">
      <c r="A77" s="4" t="s">
        <v>397</v>
      </c>
      <c r="B77" s="4" t="s">
        <v>872</v>
      </c>
      <c r="C77" s="4" t="s">
        <v>810</v>
      </c>
      <c r="D77" s="4" t="s">
        <v>873</v>
      </c>
    </row>
    <row r="78" customFormat="false" ht="15" hidden="false" customHeight="false" outlineLevel="0" collapsed="false">
      <c r="A78" s="3" t="s">
        <v>397</v>
      </c>
      <c r="B78" s="3" t="s">
        <v>859</v>
      </c>
      <c r="C78" s="3" t="s">
        <v>832</v>
      </c>
      <c r="D78" s="3"/>
    </row>
    <row r="79" customFormat="false" ht="15" hidden="false" customHeight="false" outlineLevel="0" collapsed="false">
      <c r="A79" s="4" t="s">
        <v>397</v>
      </c>
      <c r="B79" s="4" t="s">
        <v>812</v>
      </c>
      <c r="C79" s="4" t="s">
        <v>788</v>
      </c>
      <c r="D79" s="4" t="s">
        <v>784</v>
      </c>
    </row>
    <row r="80" customFormat="false" ht="15" hidden="false" customHeight="false" outlineLevel="0" collapsed="false">
      <c r="A80" s="3" t="s">
        <v>402</v>
      </c>
      <c r="B80" s="3" t="s">
        <v>867</v>
      </c>
      <c r="C80" s="3" t="s">
        <v>777</v>
      </c>
      <c r="D80" s="3" t="s">
        <v>874</v>
      </c>
    </row>
    <row r="81" customFormat="false" ht="15" hidden="false" customHeight="false" outlineLevel="0" collapsed="false">
      <c r="A81" s="4" t="s">
        <v>402</v>
      </c>
      <c r="B81" s="4" t="s">
        <v>860</v>
      </c>
      <c r="C81" s="4" t="s">
        <v>777</v>
      </c>
      <c r="D81" s="4" t="s">
        <v>875</v>
      </c>
    </row>
    <row r="82" customFormat="false" ht="15" hidden="false" customHeight="false" outlineLevel="0" collapsed="false">
      <c r="A82" s="3" t="s">
        <v>402</v>
      </c>
      <c r="B82" s="3" t="s">
        <v>876</v>
      </c>
      <c r="C82" s="3" t="s">
        <v>877</v>
      </c>
      <c r="D82" s="3"/>
    </row>
    <row r="83" customFormat="false" ht="15" hidden="false" customHeight="false" outlineLevel="0" collapsed="false">
      <c r="A83" s="4" t="s">
        <v>402</v>
      </c>
      <c r="B83" s="4" t="s">
        <v>878</v>
      </c>
      <c r="C83" s="4" t="s">
        <v>877</v>
      </c>
      <c r="D83" s="4"/>
    </row>
    <row r="84" customFormat="false" ht="15" hidden="false" customHeight="false" outlineLevel="0" collapsed="false">
      <c r="A84" s="3" t="s">
        <v>402</v>
      </c>
      <c r="B84" s="3" t="s">
        <v>879</v>
      </c>
      <c r="C84" s="3" t="s">
        <v>877</v>
      </c>
      <c r="D84" s="3" t="s">
        <v>880</v>
      </c>
    </row>
    <row r="85" customFormat="false" ht="15" hidden="false" customHeight="false" outlineLevel="0" collapsed="false">
      <c r="A85" s="4" t="s">
        <v>402</v>
      </c>
      <c r="B85" s="4" t="s">
        <v>863</v>
      </c>
      <c r="C85" s="4" t="s">
        <v>810</v>
      </c>
      <c r="D85" s="4" t="s">
        <v>784</v>
      </c>
    </row>
    <row r="86" customFormat="false" ht="15" hidden="false" customHeight="false" outlineLevel="0" collapsed="false">
      <c r="A86" s="3" t="s">
        <v>402</v>
      </c>
      <c r="B86" s="3" t="s">
        <v>881</v>
      </c>
      <c r="C86" s="3" t="s">
        <v>810</v>
      </c>
      <c r="D86" s="3" t="s">
        <v>882</v>
      </c>
    </row>
    <row r="87" customFormat="false" ht="15" hidden="false" customHeight="false" outlineLevel="0" collapsed="false">
      <c r="A87" s="4" t="s">
        <v>883</v>
      </c>
      <c r="B87" s="4" t="s">
        <v>884</v>
      </c>
      <c r="C87" s="4" t="s">
        <v>803</v>
      </c>
      <c r="D87" s="4" t="s">
        <v>885</v>
      </c>
    </row>
    <row r="88" customFormat="false" ht="15" hidden="false" customHeight="false" outlineLevel="0" collapsed="false">
      <c r="A88" s="3" t="s">
        <v>883</v>
      </c>
      <c r="B88" s="3" t="s">
        <v>785</v>
      </c>
      <c r="C88" s="3" t="s">
        <v>786</v>
      </c>
      <c r="D88" s="3" t="s">
        <v>784</v>
      </c>
    </row>
    <row r="89" customFormat="false" ht="15" hidden="false" customHeight="false" outlineLevel="0" collapsed="false">
      <c r="A89" s="4" t="s">
        <v>883</v>
      </c>
      <c r="B89" s="4" t="s">
        <v>886</v>
      </c>
      <c r="C89" s="4" t="s">
        <v>832</v>
      </c>
      <c r="D89" s="4" t="s">
        <v>784</v>
      </c>
    </row>
    <row r="90" customFormat="false" ht="15" hidden="false" customHeight="false" outlineLevel="0" collapsed="false">
      <c r="A90" s="3" t="s">
        <v>883</v>
      </c>
      <c r="B90" s="3" t="s">
        <v>887</v>
      </c>
      <c r="C90" s="3" t="s">
        <v>888</v>
      </c>
      <c r="D90" s="3" t="s">
        <v>889</v>
      </c>
    </row>
    <row r="91" customFormat="false" ht="15" hidden="false" customHeight="false" outlineLevel="0" collapsed="false">
      <c r="A91" s="4" t="s">
        <v>883</v>
      </c>
      <c r="B91" s="4" t="s">
        <v>825</v>
      </c>
      <c r="C91" s="4" t="s">
        <v>826</v>
      </c>
      <c r="D91" s="4" t="s">
        <v>781</v>
      </c>
    </row>
    <row r="92" customFormat="false" ht="15" hidden="false" customHeight="false" outlineLevel="0" collapsed="false">
      <c r="A92" s="3" t="s">
        <v>883</v>
      </c>
      <c r="B92" s="3" t="s">
        <v>820</v>
      </c>
      <c r="C92" s="3" t="s">
        <v>821</v>
      </c>
      <c r="D92" s="3"/>
    </row>
    <row r="93" customFormat="false" ht="15" hidden="false" customHeight="false" outlineLevel="0" collapsed="false">
      <c r="A93" s="4" t="s">
        <v>883</v>
      </c>
      <c r="B93" s="4" t="s">
        <v>814</v>
      </c>
      <c r="C93" s="4" t="s">
        <v>777</v>
      </c>
      <c r="D93" s="4" t="s">
        <v>890</v>
      </c>
    </row>
    <row r="94" customFormat="false" ht="15" hidden="false" customHeight="false" outlineLevel="0" collapsed="false">
      <c r="A94" s="3" t="s">
        <v>883</v>
      </c>
      <c r="B94" s="3" t="s">
        <v>801</v>
      </c>
      <c r="C94" s="3" t="s">
        <v>777</v>
      </c>
      <c r="D94" s="3" t="s">
        <v>840</v>
      </c>
    </row>
    <row r="95" customFormat="false" ht="15" hidden="false" customHeight="false" outlineLevel="0" collapsed="false">
      <c r="A95" s="4" t="s">
        <v>883</v>
      </c>
      <c r="B95" s="4" t="s">
        <v>891</v>
      </c>
      <c r="C95" s="4" t="s">
        <v>797</v>
      </c>
      <c r="D95" s="4" t="s">
        <v>784</v>
      </c>
    </row>
    <row r="96" customFormat="false" ht="15" hidden="false" customHeight="false" outlineLevel="0" collapsed="false">
      <c r="A96" s="3" t="s">
        <v>883</v>
      </c>
      <c r="B96" s="3" t="s">
        <v>892</v>
      </c>
      <c r="C96" s="3" t="s">
        <v>893</v>
      </c>
      <c r="D96" s="3"/>
    </row>
    <row r="97" customFormat="false" ht="15" hidden="false" customHeight="false" outlineLevel="0" collapsed="false">
      <c r="A97" s="4" t="s">
        <v>883</v>
      </c>
      <c r="B97" s="4" t="s">
        <v>812</v>
      </c>
      <c r="C97" s="4" t="s">
        <v>788</v>
      </c>
      <c r="D97" s="4" t="s">
        <v>784</v>
      </c>
    </row>
    <row r="98" customFormat="false" ht="15" hidden="false" customHeight="false" outlineLevel="0" collapsed="false">
      <c r="A98" s="3" t="s">
        <v>894</v>
      </c>
      <c r="B98" s="3" t="s">
        <v>895</v>
      </c>
      <c r="C98" s="3" t="s">
        <v>803</v>
      </c>
      <c r="D98" s="3" t="s">
        <v>885</v>
      </c>
    </row>
    <row r="99" customFormat="false" ht="15" hidden="false" customHeight="false" outlineLevel="0" collapsed="false">
      <c r="A99" s="4" t="s">
        <v>894</v>
      </c>
      <c r="B99" s="4" t="s">
        <v>884</v>
      </c>
      <c r="C99" s="4" t="s">
        <v>803</v>
      </c>
      <c r="D99" s="4" t="s">
        <v>896</v>
      </c>
    </row>
    <row r="100" customFormat="false" ht="15" hidden="false" customHeight="false" outlineLevel="0" collapsed="false">
      <c r="A100" s="3" t="s">
        <v>894</v>
      </c>
      <c r="B100" s="3" t="s">
        <v>897</v>
      </c>
      <c r="C100" s="3" t="s">
        <v>832</v>
      </c>
      <c r="D100" s="3" t="s">
        <v>784</v>
      </c>
    </row>
    <row r="101" customFormat="false" ht="15" hidden="false" customHeight="false" outlineLevel="0" collapsed="false">
      <c r="A101" s="4" t="s">
        <v>894</v>
      </c>
      <c r="B101" s="4" t="s">
        <v>812</v>
      </c>
      <c r="C101" s="4" t="s">
        <v>788</v>
      </c>
      <c r="D101" s="4" t="s">
        <v>784</v>
      </c>
    </row>
    <row r="102" customFormat="false" ht="15" hidden="false" customHeight="false" outlineLevel="0" collapsed="false">
      <c r="A102" s="3" t="s">
        <v>898</v>
      </c>
      <c r="B102" s="3" t="s">
        <v>899</v>
      </c>
      <c r="C102" s="3" t="s">
        <v>777</v>
      </c>
      <c r="D102" s="3" t="s">
        <v>778</v>
      </c>
    </row>
    <row r="103" customFormat="false" ht="15" hidden="false" customHeight="false" outlineLevel="0" collapsed="false">
      <c r="A103" s="4" t="s">
        <v>898</v>
      </c>
      <c r="B103" s="4" t="s">
        <v>895</v>
      </c>
      <c r="C103" s="4" t="s">
        <v>803</v>
      </c>
      <c r="D103" s="4" t="s">
        <v>781</v>
      </c>
    </row>
    <row r="104" customFormat="false" ht="15" hidden="false" customHeight="false" outlineLevel="0" collapsed="false">
      <c r="A104" s="3" t="s">
        <v>898</v>
      </c>
      <c r="B104" s="3" t="s">
        <v>900</v>
      </c>
      <c r="C104" s="3" t="s">
        <v>788</v>
      </c>
      <c r="D104" s="3" t="s">
        <v>901</v>
      </c>
    </row>
    <row r="105" customFormat="false" ht="15" hidden="false" customHeight="false" outlineLevel="0" collapsed="false">
      <c r="A105" s="4" t="s">
        <v>898</v>
      </c>
      <c r="B105" s="4" t="s">
        <v>902</v>
      </c>
      <c r="C105" s="4" t="s">
        <v>821</v>
      </c>
      <c r="D105" s="4" t="s">
        <v>781</v>
      </c>
    </row>
    <row r="106" customFormat="false" ht="15" hidden="false" customHeight="false" outlineLevel="0" collapsed="false">
      <c r="A106" s="3" t="s">
        <v>898</v>
      </c>
      <c r="B106" s="3" t="s">
        <v>903</v>
      </c>
      <c r="C106" s="3" t="s">
        <v>797</v>
      </c>
      <c r="D106" s="3"/>
    </row>
    <row r="107" customFormat="false" ht="15" hidden="false" customHeight="false" outlineLevel="0" collapsed="false">
      <c r="A107" s="4" t="s">
        <v>898</v>
      </c>
      <c r="B107" s="4" t="s">
        <v>904</v>
      </c>
      <c r="C107" s="4" t="s">
        <v>905</v>
      </c>
      <c r="D107" s="4"/>
    </row>
    <row r="108" customFormat="false" ht="15" hidden="false" customHeight="false" outlineLevel="0" collapsed="false">
      <c r="A108" s="3" t="s">
        <v>906</v>
      </c>
      <c r="B108" s="3" t="s">
        <v>907</v>
      </c>
      <c r="C108" s="3" t="s">
        <v>777</v>
      </c>
      <c r="D108" s="3" t="s">
        <v>778</v>
      </c>
    </row>
    <row r="109" customFormat="false" ht="15" hidden="false" customHeight="false" outlineLevel="0" collapsed="false">
      <c r="A109" s="4" t="s">
        <v>906</v>
      </c>
      <c r="B109" s="4" t="s">
        <v>801</v>
      </c>
      <c r="C109" s="4" t="s">
        <v>777</v>
      </c>
      <c r="D109" s="4" t="s">
        <v>840</v>
      </c>
    </row>
    <row r="110" customFormat="false" ht="15" hidden="false" customHeight="false" outlineLevel="0" collapsed="false">
      <c r="A110" s="3" t="s">
        <v>906</v>
      </c>
      <c r="B110" s="3" t="s">
        <v>908</v>
      </c>
      <c r="C110" s="3" t="s">
        <v>832</v>
      </c>
      <c r="D110" s="3" t="s">
        <v>784</v>
      </c>
    </row>
    <row r="111" customFormat="false" ht="15" hidden="false" customHeight="false" outlineLevel="0" collapsed="false">
      <c r="A111" s="4" t="s">
        <v>906</v>
      </c>
      <c r="B111" s="4" t="s">
        <v>870</v>
      </c>
      <c r="C111" s="4" t="s">
        <v>909</v>
      </c>
      <c r="D111" s="4"/>
    </row>
    <row r="112" customFormat="false" ht="15" hidden="false" customHeight="false" outlineLevel="0" collapsed="false">
      <c r="A112" s="3" t="s">
        <v>906</v>
      </c>
      <c r="B112" s="3" t="s">
        <v>910</v>
      </c>
      <c r="C112" s="3" t="s">
        <v>786</v>
      </c>
      <c r="D112" s="3" t="s">
        <v>784</v>
      </c>
    </row>
    <row r="113" customFormat="false" ht="15" hidden="false" customHeight="false" outlineLevel="0" collapsed="false">
      <c r="A113" s="4" t="s">
        <v>906</v>
      </c>
      <c r="B113" s="4" t="s">
        <v>911</v>
      </c>
      <c r="C113" s="4" t="s">
        <v>905</v>
      </c>
      <c r="D113" s="4" t="s">
        <v>912</v>
      </c>
    </row>
    <row r="114" customFormat="false" ht="15" hidden="false" customHeight="false" outlineLevel="0" collapsed="false">
      <c r="A114" s="3" t="s">
        <v>906</v>
      </c>
      <c r="B114" s="3" t="s">
        <v>913</v>
      </c>
      <c r="C114" s="3" t="s">
        <v>791</v>
      </c>
      <c r="D114" s="3" t="s">
        <v>784</v>
      </c>
    </row>
    <row r="115" customFormat="false" ht="15" hidden="false" customHeight="false" outlineLevel="0" collapsed="false">
      <c r="A115" s="4" t="s">
        <v>906</v>
      </c>
      <c r="B115" s="4" t="s">
        <v>837</v>
      </c>
      <c r="C115" s="4" t="s">
        <v>838</v>
      </c>
      <c r="D115" s="4"/>
    </row>
    <row r="116" customFormat="false" ht="15" hidden="false" customHeight="false" outlineLevel="0" collapsed="false">
      <c r="A116" s="3" t="s">
        <v>914</v>
      </c>
      <c r="B116" s="3" t="s">
        <v>915</v>
      </c>
      <c r="C116" s="3" t="s">
        <v>777</v>
      </c>
      <c r="D116" s="3" t="s">
        <v>778</v>
      </c>
    </row>
    <row r="117" customFormat="false" ht="15" hidden="false" customHeight="false" outlineLevel="0" collapsed="false">
      <c r="A117" s="4" t="s">
        <v>914</v>
      </c>
      <c r="B117" s="4" t="s">
        <v>907</v>
      </c>
      <c r="C117" s="4" t="s">
        <v>777</v>
      </c>
      <c r="D117" s="4" t="s">
        <v>916</v>
      </c>
    </row>
    <row r="118" customFormat="false" ht="15" hidden="false" customHeight="false" outlineLevel="0" collapsed="false">
      <c r="A118" s="3" t="s">
        <v>914</v>
      </c>
      <c r="B118" s="3" t="s">
        <v>828</v>
      </c>
      <c r="C118" s="3" t="s">
        <v>777</v>
      </c>
      <c r="D118" s="3" t="s">
        <v>839</v>
      </c>
    </row>
    <row r="119" customFormat="false" ht="15" hidden="false" customHeight="false" outlineLevel="0" collapsed="false">
      <c r="A119" s="4" t="s">
        <v>914</v>
      </c>
      <c r="B119" s="4" t="s">
        <v>843</v>
      </c>
      <c r="C119" s="4" t="s">
        <v>832</v>
      </c>
      <c r="D119" s="4" t="s">
        <v>784</v>
      </c>
    </row>
    <row r="120" customFormat="false" ht="15" hidden="false" customHeight="false" outlineLevel="0" collapsed="false">
      <c r="A120" s="3" t="s">
        <v>914</v>
      </c>
      <c r="B120" s="3" t="s">
        <v>917</v>
      </c>
      <c r="C120" s="3" t="s">
        <v>838</v>
      </c>
      <c r="D120" s="3" t="s">
        <v>784</v>
      </c>
    </row>
    <row r="121" customFormat="false" ht="15" hidden="false" customHeight="false" outlineLevel="0" collapsed="false">
      <c r="A121" s="4" t="s">
        <v>914</v>
      </c>
      <c r="B121" s="4" t="s">
        <v>918</v>
      </c>
      <c r="C121" s="4" t="s">
        <v>810</v>
      </c>
      <c r="D121" s="4" t="s">
        <v>919</v>
      </c>
    </row>
    <row r="122" customFormat="false" ht="15" hidden="false" customHeight="false" outlineLevel="0" collapsed="false">
      <c r="A122" s="3" t="s">
        <v>914</v>
      </c>
      <c r="B122" s="3" t="s">
        <v>812</v>
      </c>
      <c r="C122" s="3" t="s">
        <v>788</v>
      </c>
      <c r="D122" s="3" t="s">
        <v>784</v>
      </c>
    </row>
    <row r="123" customFormat="false" ht="15" hidden="false" customHeight="false" outlineLevel="0" collapsed="false">
      <c r="A123" s="4" t="s">
        <v>914</v>
      </c>
      <c r="B123" s="4" t="s">
        <v>920</v>
      </c>
      <c r="C123" s="4" t="s">
        <v>832</v>
      </c>
      <c r="D123" s="4"/>
    </row>
  </sheetData>
  <autoFilter ref="A3:D1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2026-10-31T10:37:33Z</dcterms:created>
  <dc:creator>openpyxl</dc:creator>
  <dc:description/>
  <dc:language>en-US</dc:language>
  <cp:lastModifiedBy/>
  <dcterms:modified xsi:type="dcterms:W3CDTF">2026-10-31T10:37:33Z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