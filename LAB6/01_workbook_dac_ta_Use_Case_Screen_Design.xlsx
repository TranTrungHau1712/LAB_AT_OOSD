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S Use Case" sheetId="1" state="visible" r:id="rId3"/>
    <sheet name="Đặc tả Use Case" sheetId="2" state="visible" r:id="rId4"/>
    <sheet name="Screen Design" sheetId="3" state="visible" r:id="rId5"/>
    <sheet name="Từ điển dữ liệu" sheetId="4" state="visible" r:id="rId6"/>
    <sheet name="Test Ca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<sst xmlns="http://schemas.openxmlformats.org/spreadsheetml/2006/main" count="1239" uniqueCount="625">
  <si>
    <t xml:space="preserve">DANH SÁCH USE CASE - HỆ THỐNG QUẢN LÝ HỒ SƠ BỆNH ÁN</t>
  </si>
  <si>
    <t xml:space="preserve">LAB 6 - Bài 5 | Trần Trung Hậu - 1250080050 - CNPM1 | Cột "Truy vết" nối Use Case với màn hình, hàm xử lý, bảng dữ liệu, test case</t>
  </si>
  <si>
    <t xml:space="preserve">Mã UC</t>
  </si>
  <si>
    <t xml:space="preserve">Tên Use Case</t>
  </si>
  <si>
    <t xml:space="preserve">Actor chính</t>
  </si>
  <si>
    <t xml:space="preserve">Actor phụ</t>
  </si>
  <si>
    <t xml:space="preserve">Mô tả</t>
  </si>
  <si>
    <t xml:space="preserve">Ưu tiên</t>
  </si>
  <si>
    <t xml:space="preserve">Màn hình (Form)</t>
  </si>
  <si>
    <t xml:space="preserve">Hàm xử lý (Service)</t>
  </si>
  <si>
    <t xml:space="preserve">Bảng dữ liệu</t>
  </si>
  <si>
    <t xml:space="preserve">Test case</t>
  </si>
  <si>
    <t xml:space="preserve">Trạng thái cài đặt</t>
  </si>
  <si>
    <t xml:space="preserve">UC01</t>
  </si>
  <si>
    <t xml:space="preserve">Quản lý bệnh nhân</t>
  </si>
  <si>
    <t xml:space="preserve">Nhân viên CSKH</t>
  </si>
  <si>
    <t xml:space="preserve">-</t>
  </si>
  <si>
    <t xml:space="preserve">Thêm, sửa, xóa, tìm bệnh nhân; lưu ảnh 3x4</t>
  </si>
  <si>
    <t xml:space="preserve">Cao</t>
  </si>
  <si>
    <t xml:space="preserve">FrmBenhNhan</t>
  </si>
  <si>
    <t xml:space="preserve">BenhNhanService.Search/Insert/Update/Delete</t>
  </si>
  <si>
    <t xml:space="preserve">BenhNhan</t>
  </si>
  <si>
    <t xml:space="preserve">TC01-TC06</t>
  </si>
  <si>
    <t xml:space="preserve">Đã cài đặt</t>
  </si>
  <si>
    <t xml:space="preserve">UC02</t>
  </si>
  <si>
    <t xml:space="preserve">Đăng ký khám bệnh (lập phiếu đăng ký)</t>
  </si>
  <si>
    <t xml:space="preserve">Bệnh nhân</t>
  </si>
  <si>
    <t xml:space="preserve">Lập phiếu đăng ký (họ tên, địa chỉ, ngày sinh, điện thoại, ảnh 3x4) khi bệnh nhân khám lần đầu</t>
  </si>
  <si>
    <t xml:space="preserve">BenhNhanService.DangKyHoSo</t>
  </si>
  <si>
    <t xml:space="preserve">PhieuDangKy</t>
  </si>
  <si>
    <t xml:space="preserve">TC07-TC10</t>
  </si>
  <si>
    <t xml:space="preserve">UC03</t>
  </si>
  <si>
    <t xml:space="preserve">Đóng lệ phí hằng năm</t>
  </si>
  <si>
    <t xml:space="preserve">Thu ngân / CSKH</t>
  </si>
  <si>
    <t xml:space="preserve">Thu lệ phí quản lý và khám định kỳ theo năm (include trong UC02)</t>
  </si>
  <si>
    <t xml:space="preserve">TC07-TC09</t>
  </si>
  <si>
    <t xml:space="preserve">UC04</t>
  </si>
  <si>
    <t xml:space="preserve">Cấp / gia hạn hồ sơ bệnh án</t>
  </si>
  <si>
    <t xml:space="preserve">Cấp hồ sơ mới (mã hồ sơ + trang bìa) hoặc gia hạn hồ sơ cũ khi đã đóng lệ phí (include trong UC02)</t>
  </si>
  <si>
    <t xml:space="preserve">HoSoBenhAn</t>
  </si>
  <si>
    <t xml:space="preserve">UC05</t>
  </si>
  <si>
    <t xml:space="preserve">Tra cứu hồ sơ bệnh án</t>
  </si>
  <si>
    <t xml:space="preserve">Nhân viên CSKH, Bác sĩ</t>
  </si>
  <si>
    <t xml:space="preserve">Tìm hồ sơ theo mã hồ sơ, mã BN, tên, SĐT; xem trang bìa, lịch sử khám, triệu chứng, xét nghiệm, toa thuốc</t>
  </si>
  <si>
    <t xml:space="preserve">FrmTraCuuHoSo</t>
  </si>
  <si>
    <t xml:space="preserve">HoSoService.Search/Get/Visits/VisitDetail</t>
  </si>
  <si>
    <t xml:space="preserve">HoSoBenhAn, PhieuKham, vw_LichSuKham</t>
  </si>
  <si>
    <t xml:space="preserve">TC11-TC12</t>
  </si>
  <si>
    <t xml:space="preserve">UC06</t>
  </si>
  <si>
    <t xml:space="preserve">Đặt lịch hẹn khám</t>
  </si>
  <si>
    <t xml:space="preserve">Bệnh nhân gọi phòng CSKH hẹn ngày giờ khám (kể cả khám định kỳ theo quý)</t>
  </si>
  <si>
    <t xml:space="preserve">Trung bình</t>
  </si>
  <si>
    <t xml:space="preserve">FrmLichHen</t>
  </si>
  <si>
    <t xml:space="preserve">LichHenService.Add/UpdateStatus/Delete</t>
  </si>
  <si>
    <t xml:space="preserve">LichHen</t>
  </si>
  <si>
    <t xml:space="preserve">TC13-TC17</t>
  </si>
  <si>
    <t xml:space="preserve">UC07</t>
  </si>
  <si>
    <t xml:space="preserve">Lập phiếu khám (khám bệnh, ghi nhận triệu chứng)</t>
  </si>
  <si>
    <t xml:space="preserve">Bác sĩ</t>
  </si>
  <si>
    <t xml:space="preserve">Ghi nhận ngày giờ khám, bác sĩ, khoa, triệu chứng, chẩn đoán, kết luận sau khi bệnh nhân xuất viện</t>
  </si>
  <si>
    <t xml:space="preserve">FrmPhieuKham</t>
  </si>
  <si>
    <t xml:space="preserve">PhieuKhamService.Create</t>
  </si>
  <si>
    <t xml:space="preserve">PhieuKham, TrieuChung</t>
  </si>
  <si>
    <t xml:space="preserve">TC18-TC21</t>
  </si>
  <si>
    <t xml:space="preserve">UC08</t>
  </si>
  <si>
    <t xml:space="preserve">Khám sức khỏe định kỳ</t>
  </si>
  <si>
    <t xml:space="preserve">Bác sĩ, Bệnh nhân</t>
  </si>
  <si>
    <t xml:space="preserve">Phiếu khám loại "Định kỳ": miễn phí, 1 lần mỗi quý, ghi nhận như một lần điều trị nhưng không có bệnh</t>
  </si>
  <si>
    <t xml:space="preserve">PhieuKham</t>
  </si>
  <si>
    <t xml:space="preserve">TC22-TC23</t>
  </si>
  <si>
    <t xml:space="preserve">UC09</t>
  </si>
  <si>
    <t xml:space="preserve">Chỉ định xét nghiệm</t>
  </si>
  <si>
    <t xml:space="preserve">Bác sĩ (qua CSKH nhập liệu)</t>
  </si>
  <si>
    <t xml:space="preserve">Chọn các xét nghiệm cần thiết cho phiếu khám (extend của UC07)</t>
  </si>
  <si>
    <t xml:space="preserve">ChiTietXetNghiem, XetNghiem</t>
  </si>
  <si>
    <t xml:space="preserve">TC24</t>
  </si>
  <si>
    <t xml:space="preserve">UC10</t>
  </si>
  <si>
    <t xml:space="preserve">Nhập kết quả xét nghiệm</t>
  </si>
  <si>
    <t xml:space="preserve">KTV xét nghiệm</t>
  </si>
  <si>
    <t xml:space="preserve">Cập nhật kết quả, ghi chú; ngày thực hiện tự điền</t>
  </si>
  <si>
    <t xml:space="preserve">FrmKetQuaXN</t>
  </si>
  <si>
    <t xml:space="preserve">PhieuKhamService.LoadXetNghiem/SaveKetQua</t>
  </si>
  <si>
    <t xml:space="preserve">ChiTietXetNghiem</t>
  </si>
  <si>
    <t xml:space="preserve">TC25</t>
  </si>
  <si>
    <t xml:space="preserve">UC11</t>
  </si>
  <si>
    <t xml:space="preserve">Lập toa thuốc</t>
  </si>
  <si>
    <t xml:space="preserve">Kê thuốc cho phiếu khám: thuốc, số lượng, liều dùng, cách dùng, lời dặn; cho phép sửa toa</t>
  </si>
  <si>
    <t xml:space="preserve">FrmLapToa</t>
  </si>
  <si>
    <t xml:space="preserve">ToaThuocService.PhieuInfo/Save</t>
  </si>
  <si>
    <t xml:space="preserve">ToaThuoc, ChiTietToaThuoc, Thuoc</t>
  </si>
  <si>
    <t xml:space="preserve">TC26-TC29</t>
  </si>
  <si>
    <t xml:space="preserve">UC12</t>
  </si>
  <si>
    <t xml:space="preserve">Thanh toán viện phí</t>
  </si>
  <si>
    <t xml:space="preserve">Thu ngân</t>
  </si>
  <si>
    <t xml:space="preserve">Lập hóa đơn sau khi khám; khám định kỳ miễn phí</t>
  </si>
  <si>
    <t xml:space="preserve">FrmHoaDon</t>
  </si>
  <si>
    <t xml:space="preserve">HoaDonService.List/Pay</t>
  </si>
  <si>
    <t xml:space="preserve">HoaDon</t>
  </si>
  <si>
    <t xml:space="preserve">TC30-TC32</t>
  </si>
  <si>
    <t xml:space="preserve">UC13</t>
  </si>
  <si>
    <t xml:space="preserve">Quản lý danh mục</t>
  </si>
  <si>
    <t xml:space="preserve">Quản trị viên</t>
  </si>
  <si>
    <t xml:space="preserve">Khoa, bác sĩ, nhân viên CSKH, thuốc, xét nghiệm</t>
  </si>
  <si>
    <t xml:space="preserve">Thấp</t>
  </si>
  <si>
    <t xml:space="preserve">FrmDanhMuc</t>
  </si>
  <si>
    <t xml:space="preserve">DanhMucService.Load/Save</t>
  </si>
  <si>
    <t xml:space="preserve">Khoa, BacSi, NhanVienCSKH, Thuoc, XetNghiem</t>
  </si>
  <si>
    <t xml:space="preserve">TC33</t>
  </si>
  <si>
    <t xml:space="preserve">UC14</t>
  </si>
  <si>
    <t xml:space="preserve">Thống kê báo cáo</t>
  </si>
  <si>
    <t xml:space="preserve">Nhân viên CSKH, Quản trị viên</t>
  </si>
  <si>
    <t xml:space="preserve">Thống kê khám định kỳ theo quý, lịch sử khám</t>
  </si>
  <si>
    <t xml:space="preserve">(chưa có form)</t>
  </si>
  <si>
    <t xml:space="preserve">vw_KhamDinhKyTheoQuy, vw_LichSuKham</t>
  </si>
  <si>
    <t xml:space="preserve">Chưa có form - mới có view SQL</t>
  </si>
  <si>
    <t xml:space="preserve">ĐẶC TẢ CHI TIẾT USE CASE</t>
  </si>
  <si>
    <t xml:space="preserve">UC02-04 - Đăng ký khám bệnh - đóng lệ phí - cấp hồ sơ bệnh án</t>
  </si>
  <si>
    <t xml:space="preserve">Actor</t>
  </si>
  <si>
    <t xml:space="preserve">Nhân viên CSKH (chính); Thu ngân, Bệnh nhân (phụ)</t>
  </si>
  <si>
    <t xml:space="preserve">Bệnh nhân khám lần đầu được lập phiếu đăng ký, đóng lệ phí năm và được cấp hồ sơ bệnh án. Bệnh nhân cũ đóng lệ phí năm mới để gia hạn hồ sơ.</t>
  </si>
  <si>
    <t xml:space="preserve">Tiền điều kiện</t>
  </si>
  <si>
    <t xml:space="preserve">Bệnh nhân đã có bản ghi trong bảng BenhNhan (UC01).</t>
  </si>
  <si>
    <t xml:space="preserve">Hậu điều kiện</t>
  </si>
  <si>
    <t xml:space="preserve">Có PhieuDangKy (đã thanh toán). Hồ sơ bệnh án mới được tạo, hoặc hồ sơ cũ được gia hạn đến 31/12 của năm hiệu lực.</t>
  </si>
  <si>
    <t xml:space="preserve">Luồng chính</t>
  </si>
  <si>
    <t xml:space="preserve">1. CSKH chọn bệnh nhân trong danh sách.
2. Nhập lệ phí năm và năm hiệu lực.
3. Bấm "Đăng ký / gia hạn hồ sơ".
4. Hệ thống hỏi xác nhận thu lệ phí.
5. Hệ thống tạo PhieuDangKy (maPhieu tự sinh PDxxxx, daThanhToan = 1).
6. Nếu chưa có hồ sơ: tạo HoSoBenhAn (maHS HSxxxx, ngayLap = hôm nay, ngayHetHan = 31/12 năm hiệu lực).
7. Hệ thống hiển thị mã hồ sơ.</t>
  </si>
  <si>
    <t xml:space="preserve">Luồng thay thế</t>
  </si>
  <si>
    <t xml:space="preserve">6a. Bệnh nhân đã có hồ sơ còn hạn thấp hơn năm hiệu lực: cập nhật maPhieu, ngayHetHan, trạng thái "Còn hiệu lực".</t>
  </si>
  <si>
    <t xml:space="preserve">Ngoại lệ</t>
  </si>
  <si>
    <t xml:space="preserve">E1. Chưa chọn bệnh nhân: báo lỗi.
E2. Lệ phí &lt;= 0: báo lỗi.
E3. Năm hiệu lực nhỏ hơn năm hiện tại: báo lỗi.
E4. Hồ sơ đã có hiệu lực đến hết năm yêu cầu: báo không cần đóng thêm.</t>
  </si>
  <si>
    <t xml:space="preserve">Quy tắc nghiệp vụ</t>
  </si>
  <si>
    <t xml:space="preserve">BR1. Mỗi bệnh nhân có tối đa 1 hồ sơ (UNIQUE maBN).
BR2. Hồ sơ hết hạn vào 31/12 của năm hiệu lực.
BR3. Mã hồ sơ phân biệt các bệnh nhân khác nhau.
BR4. Toàn bộ thao tác nằm trong một giao dịch.</t>
  </si>
  <si>
    <t xml:space="preserve">Màn hình / dữ liệu</t>
  </si>
  <si>
    <t xml:space="preserve">FrmBenhNhan | PhieuDangKy, HoSoBenhAn</t>
  </si>
  <si>
    <t xml:space="preserve">UC05 - Tra cứu hồ sơ bệnh án</t>
  </si>
  <si>
    <t xml:space="preserve">Nhân viên CSKH, Bác sĩ; Bệnh nhân (cung cấp mã hồ sơ hoặc thông tin tìm kiếm)</t>
  </si>
  <si>
    <t xml:space="preserve">Lấy hồ sơ từ máy tính khi bệnh nhân báo mã hồ sơ hoặc thông tin khác, để bác sĩ nắm lý lịch bệnh án và sức khỏe.</t>
  </si>
  <si>
    <t xml:space="preserve">Có ít nhất một hồ sơ trong hệ thống.</t>
  </si>
  <si>
    <t xml:space="preserve">Hiển thị trang bìa, danh sách phiếu khám và chi tiết phiếu khám. Không thay đổi dữ liệu.</t>
  </si>
  <si>
    <t xml:space="preserve">1. Nhập mã hồ sơ / mã BN / tên / SĐT.
2. Hệ thống liệt kê hồ sơ phù hợp (trạng thái Còn hiệu lực hoặc Hết hạn).
3. Chọn một hồ sơ: hiển thị trang bìa (kèm ảnh 3x4) và lịch sử khám mới nhất trước.
4. Chọn một phiếu khám: hiển thị triệu chứng, xét nghiệm, toa thuốc, lời dặn.</t>
  </si>
  <si>
    <t xml:space="preserve">2a. Để trống ô tìm: hiển thị toàn bộ hồ sơ.</t>
  </si>
  <si>
    <t xml:space="preserve">E1. Không có hồ sơ phù hợp: lưới trống, vùng chi tiết xóa trắng.</t>
  </si>
  <si>
    <t xml:space="preserve">BR1. Trạng thái "Hết hạn" tính theo ngayHetHan &lt; ngày hiện tại.
BR2. Lịch sử sắp xếp theo ngày giờ khám giảm dần.</t>
  </si>
  <si>
    <t xml:space="preserve">FrmTraCuuHoSo | HoSoBenhAn, BenhNhan, PhieuKham, TrieuChung, ChiTietXetNghiem, ToaThuoc</t>
  </si>
  <si>
    <t xml:space="preserve">UC06 - Đặt lịch hẹn khám</t>
  </si>
  <si>
    <t xml:space="preserve">Nhân viên CSKH; Bệnh nhân gọi điện đến phòng CSKH</t>
  </si>
  <si>
    <t xml:space="preserve">Hẹn chính xác ngày giờ khám phù hợp với thời gian rảnh của bệnh nhân, gồm khám sức khỏe định kỳ theo quý.</t>
  </si>
  <si>
    <t xml:space="preserve">Bệnh nhân có hồ sơ còn hiệu lực vào ngày hẹn.</t>
  </si>
  <si>
    <t xml:space="preserve">Tạo LichHen trạng thái "Chờ khám".</t>
  </si>
  <si>
    <t xml:space="preserve">1. Nhập mã bệnh nhân.
2. Chọn nhân viên tiếp nhận, ngày giờ hẹn, loại hẹn (Khám bệnh / Định kỳ).
3. Bấm "Đặt lịch".
4. Hệ thống kiểm tra và lưu, hiển thị mã lịch hẹn.</t>
  </si>
  <si>
    <t xml:space="preserve">A1. Đổi trạng thái lịch hẹn: Chờ khám, Đã khám, Đã hủy.
A2. Xóa lịch hẹn chưa gắn phiếu khám.</t>
  </si>
  <si>
    <t xml:space="preserve">E1. Chưa có hồ sơ hoặc hồ sơ hết hạn trước ngày hẹn.
E2. Ngày giờ hẹn không ở tương lai.
E3. Giờ hẹn ngoài 07:00-17:00.
E4. Trùng lịch của cùng bệnh nhân.
E5. Xóa lịch đã gắn phiếu khám.</t>
  </si>
  <si>
    <t xml:space="preserve">BR1. Giờ làm việc 07:00-17:00.
BR2. Lịch hẹn đã khám được cập nhật tự động khi lập phiếu khám theo lịch.</t>
  </si>
  <si>
    <t xml:space="preserve">FrmLichHen | LichHen</t>
  </si>
  <si>
    <t xml:space="preserve">UC07-08 - Lập phiếu khám và khám sức khỏe định kỳ</t>
  </si>
  <si>
    <t xml:space="preserve">Nhân viên CSKH (nhập liệu); Bác sĩ (thông tin khám)</t>
  </si>
  <si>
    <t xml:space="preserve">Sau khi bệnh nhân xuất viện và thanh toán, phòng CSKH ghi nhận phiếu khám: ngày giờ, bác sĩ, khoa, triệu chứng, chẩn đoán, xét nghiệm. Khám định kỳ được ghi nhận như một lần điều trị nhưng không có bệnh.</t>
  </si>
  <si>
    <t xml:space="preserve">Hồ sơ còn hiệu lực tại ngày khám; danh mục khoa, bác sĩ, nhân viên đã có.</t>
  </si>
  <si>
    <t xml:space="preserve">Có PhieuKham, các TrieuChung, ChiTietXetNghiem; lịch hẹn liên quan chuyển "Đã khám".</t>
  </si>
  <si>
    <t xml:space="preserve">1. Nhập mã hồ sơ, bấm "Tìm hồ sơ": hiển thị tên bệnh nhân, hạn hồ sơ.
2. Chọn loại khám, ngày giờ, khoa, bác sĩ, nhân viên ghi nhận; có thể chọn lịch hẹn.
3. Nhập chẩn đoán, kết luận.
4. Nhập triệu chứng vào lưới (tên, giá trị, đơn vị).
5. Chọn xét nghiệm cần thiết và bấm "Thêm".
6. Bấm "Lưu phiếu khám"; hệ thống lưu trong một giao dịch và hiển thị mã phiếu.</t>
  </si>
  <si>
    <t xml:space="preserve">3a. Khám định kỳ: có thể bỏ trống chẩn đoán, hệ thống ghi "Không phát hiện bệnh".
5a. Đã có kết quả xét nghiệm: nhập luôn, ngày xét nghiệm lấy giờ hiện tại.</t>
  </si>
  <si>
    <t xml:space="preserve">E1. Không tìm thấy hồ sơ.
E2. Hồ sơ hết hạn trước ngày khám.
E3. Bác sĩ không thuộc khoa đã chọn.
E4. Khám điều trị thiếu chẩn đoán.
E5. Khám định kỳ lần thứ hai trong cùng quý.
E6. Ngày giờ khám ở tương lai.
E7. Lịch hẹn không thuộc bệnh nhân hoặc không ở trạng thái "Chờ khám".
E8. Chỉ định trùng một xét nghiệm.</t>
  </si>
  <si>
    <t xml:space="preserve">BR1. Khám định kỳ miễn phí, 1 lần mỗi quý.
BR2. Phiếu khám thuộc đúng một hồ sơ.
BR3. Triệu chứng và chi tiết xét nghiệm là thành phần của phiếu khám (xóa phiếu thì xóa theo).</t>
  </si>
  <si>
    <t xml:space="preserve">FrmPhieuKham | PhieuKham, TrieuChung, ChiTietXetNghiem, LichHen</t>
  </si>
  <si>
    <t xml:space="preserve">UC10 - Nhập kết quả xét nghiệm</t>
  </si>
  <si>
    <t xml:space="preserve">Cập nhật kết quả cho các xét nghiệm đã chỉ định của một phiếu khám.</t>
  </si>
  <si>
    <t xml:space="preserve">Phiếu khám tồn tại và có chỉ định xét nghiệm.</t>
  </si>
  <si>
    <t xml:space="preserve">ketQua, ghiChu được cập nhật; ngayXN được điền nếu trước đó trống và đã có kết quả.</t>
  </si>
  <si>
    <t xml:space="preserve">1. Nhập mã phiếu khám, bấm "Tải".
2. Nhập kết quả, ghi chú trên lưới.
3. Bấm "Lưu kết quả".</t>
  </si>
  <si>
    <t xml:space="preserve">E1. Không tìm thấy phiếu khám.
E2. Phiếu không có chỉ định xét nghiệm.</t>
  </si>
  <si>
    <t xml:space="preserve">BR1. Ngày thực hiện do hệ thống ghi, không nhập tay.</t>
  </si>
  <si>
    <t xml:space="preserve">FrmKetQuaXN | ChiTietXetNghiem</t>
  </si>
  <si>
    <t xml:space="preserve">UC11 - Lập toa thuốc</t>
  </si>
  <si>
    <t xml:space="preserve">Bác sĩ kê toa thuốc cho bệnh nhân sau khi khám.</t>
  </si>
  <si>
    <t xml:space="preserve">Phiếu khám đã được lập.</t>
  </si>
  <si>
    <t xml:space="preserve">Có ToaThuoc (1 toa/phiếu khám) cùng các ChiTietToaThuoc.</t>
  </si>
  <si>
    <t xml:space="preserve">1. Nhập mã phiếu khám, bấm "Tìm phiếu": hiển thị thông tin khám (và toa cũ nếu có).
2. Tìm thuốc theo tên/mã, chọn thuốc (hiển thị tác dụng phụ).
3. Nhập số lượng, liều dùng, cách dùng và bấm "Thêm vào toa".
4. Lặp bước 2-3 cho từng thuốc.
5. Nhập lời dặn, bấm "Lưu toa thuốc".
6. Hệ thống tạo ToaThuoc (hoặc ghi đè toa cũ) và các dòng chi tiết trong một giao dịch.</t>
  </si>
  <si>
    <t xml:space="preserve">1a. Phiếu đã có toa: nạp toa để sửa; khi lưu, các dòng chi tiết cũ được thay bằng danh sách mới.</t>
  </si>
  <si>
    <t xml:space="preserve">E1. Không tìm thấy phiếu khám.
E2. Toa rỗng.
E3. Một thuốc kê hai lần.
E4. Số lượng không phải số nguyên dương.
E5. Thiếu liều dùng.</t>
  </si>
  <si>
    <t xml:space="preserve">BR1. Mỗi phiếu khám có tối đa 1 toa (UNIQUE maPK).
BR2. Khóa chính chi tiết toa là (maToa, maThuoc).</t>
  </si>
  <si>
    <t xml:space="preserve">FrmLapToa | ToaThuoc, ChiTietToaThuoc, Thuoc</t>
  </si>
  <si>
    <t xml:space="preserve">UC12 - Thanh toán viện phí</t>
  </si>
  <si>
    <t xml:space="preserve">Thu ngân; Bệnh nhân</t>
  </si>
  <si>
    <t xml:space="preserve">Lập hóa đơn viện phí cho phiếu khám. Khám sức khỏe định kỳ được miễn phí.</t>
  </si>
  <si>
    <t xml:space="preserve">Phiếu khám chưa có hóa đơn.</t>
  </si>
  <si>
    <t xml:space="preserve">Có HoaDon gắn với phiếu khám.</t>
  </si>
  <si>
    <t xml:space="preserve">1. Chọn phiếu khám trong lưới (hiện tiền xét nghiệm tự tính).
2. Nhập phí khác (nếu có), chọn hình thức thanh toán.
3. Bấm "Thanh toán", xác nhận.
4. Hệ thống lập hóa đơn HDxxxx.</t>
  </si>
  <si>
    <t xml:space="preserve">2a. Khám định kỳ: tổng viện phí cố định bằng 0.</t>
  </si>
  <si>
    <t xml:space="preserve">E1. Phiếu đã thanh toán.
E2. Tổng viện phí âm.
E3. Hình thức thanh toán không hợp lệ.</t>
  </si>
  <si>
    <t xml:space="preserve">BR1. Tổng viện phí = tiền xét nghiệm + phí khác (khám điều trị).
BR2. Mỗi phiếu khám có tối đa 1 hóa đơn.</t>
  </si>
  <si>
    <t xml:space="preserve">FrmHoaDon | HoaDon, ChiTietXetNghiem, XetNghiem</t>
  </si>
  <si>
    <t xml:space="preserve">UC01 / UC13 - Quản lý bệnh nhân và danh mục</t>
  </si>
  <si>
    <t xml:space="preserve">Nhân viên CSKH (bệnh nhân); Quản trị viên (danh mục)</t>
  </si>
  <si>
    <t xml:space="preserve">Thêm, sửa, xóa, tìm bệnh nhân và các danh mục khoa, bác sĩ, nhân viên, thuốc, xét nghiệm.</t>
  </si>
  <si>
    <t xml:space="preserve">Đã kết nối CSDL.</t>
  </si>
  <si>
    <t xml:space="preserve">Dữ liệu được cập nhật.</t>
  </si>
  <si>
    <t xml:space="preserve">1. Mở màn hình tương ứng.
2. Thêm/sửa/xóa dữ liệu.
3. Lưu; hệ thống thông báo kết quả.</t>
  </si>
  <si>
    <t xml:space="preserve">E1. Họ tên trống; SĐT sai định dạng (0 + 9-10 số); ngày sinh ở tương lai; ảnh &gt; 2 MB.
E2. Xóa bệnh nhân đã có hồ sơ hoặc lịch hẹn.
E3. Mã danh mục trùng hoặc còn được tham chiếu.</t>
  </si>
  <si>
    <t xml:space="preserve">BR1. Mã bệnh nhân tự sinh BNxxxx.
BR2. Mã danh mục do người dùng nhập.</t>
  </si>
  <si>
    <t xml:space="preserve">FrmBenhNhan, FrmDanhMuc | BenhNhan, Khoa, BacSi, NhanVienCSKH, Thuoc, XetNghiem</t>
  </si>
  <si>
    <t xml:space="preserve">THIẾT KẾ MÀN HÌNH (WinForms dựng hoàn toàn bằng code, không dùng Designer)</t>
  </si>
  <si>
    <t xml:space="preserve">Mỗi màn hình là một MDI child của MainForm; control khai báo và bố trí trong BuildUi() của từng form</t>
  </si>
  <si>
    <t xml:space="preserve">Màn hình</t>
  </si>
  <si>
    <t xml:space="preserve">Thành phần</t>
  </si>
  <si>
    <t xml:space="preserve">Loại control</t>
  </si>
  <si>
    <t xml:space="preserve">Tên trong code</t>
  </si>
  <si>
    <t xml:space="preserve">Bắt buộc</t>
  </si>
  <si>
    <t xml:space="preserve">Ràng buộc / hành vi</t>
  </si>
  <si>
    <t xml:space="preserve">MainForm</t>
  </si>
  <si>
    <t xml:space="preserve">MenuStrip</t>
  </si>
  <si>
    <t xml:space="preserve">Menu</t>
  </si>
  <si>
    <t xml:space="preserve">menu</t>
  </si>
  <si>
    <t xml:space="preserve">Có</t>
  </si>
  <si>
    <t xml:space="preserve">Nhóm: Tiếp nhận, Hồ sơ bệnh án, Khám bệnh, Thanh toán, Danh mục, Hệ thống</t>
  </si>
  <si>
    <t xml:space="preserve">Form</t>
  </si>
  <si>
    <t xml:space="preserve">MDI container</t>
  </si>
  <si>
    <t xml:space="preserve">Mở mỗi màn hình một lần (kích hoạt lại nếu đã mở)</t>
  </si>
  <si>
    <t xml:space="preserve">FrmBenhNhan (UC01-04)</t>
  </si>
  <si>
    <t xml:space="preserve">Tìm kiếm</t>
  </si>
  <si>
    <t xml:space="preserve">TextBox</t>
  </si>
  <si>
    <t xml:space="preserve">txtSearch</t>
  </si>
  <si>
    <t xml:space="preserve">Không</t>
  </si>
  <si>
    <t xml:space="preserve">Mã BN, tên, SĐT, mã hồ sơ; Enter để tìm</t>
  </si>
  <si>
    <t xml:space="preserve">Lưới bệnh nhân</t>
  </si>
  <si>
    <t xml:space="preserve">DataGridView</t>
  </si>
  <si>
    <t xml:space="preserve">grid</t>
  </si>
  <si>
    <t xml:space="preserve">Chỉ đọc; chọn dòng để nạp thông tin sang bên phải</t>
  </si>
  <si>
    <t xml:space="preserve">Mã bệnh nhân</t>
  </si>
  <si>
    <t xml:space="preserve">TextBox (chỉ đọc)</t>
  </si>
  <si>
    <t xml:space="preserve">txtMa</t>
  </si>
  <si>
    <t xml:space="preserve">Tự sinh BNxxxx</t>
  </si>
  <si>
    <t xml:space="preserve">Họ tên</t>
  </si>
  <si>
    <t xml:space="preserve">txtTen</t>
  </si>
  <si>
    <t xml:space="preserve">Không để trống</t>
  </si>
  <si>
    <t xml:space="preserve">Địa chỉ</t>
  </si>
  <si>
    <t xml:space="preserve">txtDiaChi</t>
  </si>
  <si>
    <t xml:space="preserve">NVARCHAR(200)</t>
  </si>
  <si>
    <t xml:space="preserve">Ngày sinh</t>
  </si>
  <si>
    <t xml:space="preserve">DateTimePicker (ShowCheckBox)</t>
  </si>
  <si>
    <t xml:space="preserve">dtpSinh</t>
  </si>
  <si>
    <t xml:space="preserve">Không lớn hơn ngày hiện tại</t>
  </si>
  <si>
    <t xml:space="preserve">Điện thoại</t>
  </si>
  <si>
    <t xml:space="preserve">txtDT</t>
  </si>
  <si>
    <t xml:space="preserve">Bắt đầu 0, 10-11 chữ số</t>
  </si>
  <si>
    <t xml:space="preserve">Ảnh 3x4</t>
  </si>
  <si>
    <t xml:space="preserve">PictureBox + Button</t>
  </si>
  <si>
    <t xml:space="preserve">pic / Chọn ảnh</t>
  </si>
  <si>
    <t xml:space="preserve">jpg/png/bmp, tối đa 2 MB</t>
  </si>
  <si>
    <t xml:space="preserve">Nút Thêm mới / Cập nhật / Xóa / Làm mới</t>
  </si>
  <si>
    <t xml:space="preserve">Button</t>
  </si>
  <si>
    <t xml:space="preserve">Xóa có xác nhận</t>
  </si>
  <si>
    <t xml:space="preserve">Lệ phí năm</t>
  </si>
  <si>
    <t xml:space="preserve">NumericUpDown</t>
  </si>
  <si>
    <t xml:space="preserve">numLePhi</t>
  </si>
  <si>
    <t xml:space="preserve">&gt; 0; mặc định 500.000</t>
  </si>
  <si>
    <t xml:space="preserve">Năm hiệu lực</t>
  </si>
  <si>
    <t xml:space="preserve">numNam</t>
  </si>
  <si>
    <t xml:space="preserve">&gt;= năm hiện tại</t>
  </si>
  <si>
    <t xml:space="preserve">Đăng ký / gia hạn hồ sơ</t>
  </si>
  <si>
    <t xml:space="preserve">Lập phiếu đăng ký, thu lệ phí, cấp hoặc gia hạn hồ sơ</t>
  </si>
  <si>
    <t xml:space="preserve">FrmTraCuuHoSo (UC05)</t>
  </si>
  <si>
    <t xml:space="preserve">Ô tìm</t>
  </si>
  <si>
    <t xml:space="preserve">Mã hồ sơ, mã BN, tên, SĐT</t>
  </si>
  <si>
    <t xml:space="preserve">Lưới hồ sơ</t>
  </si>
  <si>
    <t xml:space="preserve">gridHS</t>
  </si>
  <si>
    <t xml:space="preserve">Kèm trạng thái Còn hiệu lực / Hết hạn</t>
  </si>
  <si>
    <t xml:space="preserve">Trang bìa</t>
  </si>
  <si>
    <t xml:space="preserve">TextBox nhiều dòng + PictureBox</t>
  </si>
  <si>
    <t xml:space="preserve">txtCover, pic</t>
  </si>
  <si>
    <t xml:space="preserve">Thông tin hồ sơ và ảnh 3x4</t>
  </si>
  <si>
    <t xml:space="preserve">Lịch sử khám</t>
  </si>
  <si>
    <t xml:space="preserve">gridPK</t>
  </si>
  <si>
    <t xml:space="preserve">Mới nhất trước</t>
  </si>
  <si>
    <t xml:space="preserve">Chi tiết phiếu khám</t>
  </si>
  <si>
    <t xml:space="preserve">TextBox nhiều dòng</t>
  </si>
  <si>
    <t xml:space="preserve">txtDetail</t>
  </si>
  <si>
    <t xml:space="preserve">Triệu chứng, xét nghiệm, toa thuốc</t>
  </si>
  <si>
    <t xml:space="preserve">FrmLichHen (UC06)</t>
  </si>
  <si>
    <t xml:space="preserve">Mã lịch, mã BN, tên</t>
  </si>
  <si>
    <t xml:space="preserve">Lưới lịch hẹn</t>
  </si>
  <si>
    <t xml:space="preserve">txtBN</t>
  </si>
  <si>
    <t xml:space="preserve">Phải có hồ sơ còn hạn</t>
  </si>
  <si>
    <t xml:space="preserve">Nhân viên tiếp nhận</t>
  </si>
  <si>
    <t xml:space="preserve">ComboBox</t>
  </si>
  <si>
    <t xml:space="preserve">cboNV</t>
  </si>
  <si>
    <t xml:space="preserve">Từ NhanVienCSKH</t>
  </si>
  <si>
    <t xml:space="preserve">Ngày giờ hẹn</t>
  </si>
  <si>
    <t xml:space="preserve">DateTimePicker</t>
  </si>
  <si>
    <t xml:space="preserve">dtp</t>
  </si>
  <si>
    <t xml:space="preserve">Tương lai, 07:00-17:00</t>
  </si>
  <si>
    <t xml:space="preserve">Loại hẹn</t>
  </si>
  <si>
    <t xml:space="preserve">cboLoai</t>
  </si>
  <si>
    <t xml:space="preserve">Khám bệnh / Định kỳ</t>
  </si>
  <si>
    <t xml:space="preserve">Trạng thái</t>
  </si>
  <si>
    <t xml:space="preserve">cboTT</t>
  </si>
  <si>
    <t xml:space="preserve">Chờ khám / Đã khám / Đã hủy</t>
  </si>
  <si>
    <t xml:space="preserve">Đặt lịch / Đổi trạng thái / Xóa</t>
  </si>
  <si>
    <t xml:space="preserve">FrmPhieuKham (UC07-09)</t>
  </si>
  <si>
    <t xml:space="preserve">Mã hồ sơ + Tìm hồ sơ</t>
  </si>
  <si>
    <t xml:space="preserve">TextBox + Button</t>
  </si>
  <si>
    <t xml:space="preserve">txtHS</t>
  </si>
  <si>
    <t xml:space="preserve">Hiện tên bệnh nhân, hạn hồ sơ (đỏ nếu hết hạn)</t>
  </si>
  <si>
    <t xml:space="preserve">Loại khám</t>
  </si>
  <si>
    <t xml:space="preserve">Điều trị / Định kỳ</t>
  </si>
  <si>
    <t xml:space="preserve">Ngày giờ khám</t>
  </si>
  <si>
    <t xml:space="preserve">Không ở tương lai</t>
  </si>
  <si>
    <t xml:space="preserve">Khoa</t>
  </si>
  <si>
    <t xml:space="preserve">cboKhoa</t>
  </si>
  <si>
    <t xml:space="preserve">Đổi khoa thì nạp lại danh sách bác sĩ</t>
  </si>
  <si>
    <t xml:space="preserve">cboBS</t>
  </si>
  <si>
    <t xml:space="preserve">Thuộc khoa đã chọn</t>
  </si>
  <si>
    <t xml:space="preserve">Nhân viên ghi nhận</t>
  </si>
  <si>
    <t xml:space="preserve">Theo lịch hẹn</t>
  </si>
  <si>
    <t xml:space="preserve">cboLH</t>
  </si>
  <si>
    <t xml:space="preserve">Lịch "Chờ khám" của bệnh nhân</t>
  </si>
  <si>
    <t xml:space="preserve">Chẩn đoán / Kết luận</t>
  </si>
  <si>
    <t xml:space="preserve">txtCD / txtKL</t>
  </si>
  <si>
    <t xml:space="preserve">Chẩn đoán bắt buộc khi điều trị</t>
  </si>
  <si>
    <t xml:space="preserve">Lưới triệu chứng</t>
  </si>
  <si>
    <t xml:space="preserve">DataGridView (sửa được)</t>
  </si>
  <si>
    <t xml:space="preserve">gridTC</t>
  </si>
  <si>
    <t xml:space="preserve">Tên, giá trị, đơn vị; thêm dòng ở cuối</t>
  </si>
  <si>
    <t xml:space="preserve">ComboBox + Button</t>
  </si>
  <si>
    <t xml:space="preserve">cboXN</t>
  </si>
  <si>
    <t xml:space="preserve">Không trùng xét nghiệm</t>
  </si>
  <si>
    <t xml:space="preserve">Lưới xét nghiệm</t>
  </si>
  <si>
    <t xml:space="preserve">gridXN</t>
  </si>
  <si>
    <t xml:space="preserve">Có thể nhập kết quả ngay</t>
  </si>
  <si>
    <t xml:space="preserve">Lưu phiếu khám / Làm mới</t>
  </si>
  <si>
    <t xml:space="preserve">Lưu trong một giao dịch</t>
  </si>
  <si>
    <t xml:space="preserve">FrmKetQuaXN (UC10)</t>
  </si>
  <si>
    <t xml:space="preserve">Mã phiếu khám + Tải</t>
  </si>
  <si>
    <t xml:space="preserve">txtPK</t>
  </si>
  <si>
    <t xml:space="preserve">Chỉ sửa cột Kết quả, Ghi chú</t>
  </si>
  <si>
    <t xml:space="preserve">Lưu kết quả</t>
  </si>
  <si>
    <t xml:space="preserve">FrmLapToa (UC11)</t>
  </si>
  <si>
    <t xml:space="preserve">Mã phiếu khám + Tìm phiếu</t>
  </si>
  <si>
    <t xml:space="preserve">Nạp toa cũ nếu có</t>
  </si>
  <si>
    <t xml:space="preserve">Tìm thuốc</t>
  </si>
  <si>
    <t xml:space="preserve">txtKw</t>
  </si>
  <si>
    <t xml:space="preserve">Theo tên/mã</t>
  </si>
  <si>
    <t xml:space="preserve">Thuốc</t>
  </si>
  <si>
    <t xml:space="preserve">cboThuoc</t>
  </si>
  <si>
    <t xml:space="preserve">Hiện tác dụng phụ bên dưới</t>
  </si>
  <si>
    <t xml:space="preserve">Số lượng</t>
  </si>
  <si>
    <t xml:space="preserve">numSL</t>
  </si>
  <si>
    <t xml:space="preserve">1-1000</t>
  </si>
  <si>
    <t xml:space="preserve">Liều dùng</t>
  </si>
  <si>
    <t xml:space="preserve">txtLieu</t>
  </si>
  <si>
    <t xml:space="preserve">Cách dùng</t>
  </si>
  <si>
    <t xml:space="preserve">txtCach</t>
  </si>
  <si>
    <t xml:space="preserve">Lưới toa thuốc</t>
  </si>
  <si>
    <t xml:space="preserve">Không kê trùng thuốc</t>
  </si>
  <si>
    <t xml:space="preserve">Lời dặn</t>
  </si>
  <si>
    <t xml:space="preserve">txtLoiDan</t>
  </si>
  <si>
    <t xml:space="preserve">Lưu toa thuốc</t>
  </si>
  <si>
    <t xml:space="preserve">FrmHoaDon (UC12)</t>
  </si>
  <si>
    <t xml:space="preserve">Lưới phiếu khám</t>
  </si>
  <si>
    <t xml:space="preserve">Tiền xét nghiệm tự tính, trạng thái thanh toán</t>
  </si>
  <si>
    <t xml:space="preserve">Tiền xét nghiệm</t>
  </si>
  <si>
    <t xml:space="preserve">txtXN</t>
  </si>
  <si>
    <t xml:space="preserve">Phí khác</t>
  </si>
  <si>
    <t xml:space="preserve">numKhac</t>
  </si>
  <si>
    <t xml:space="preserve">Khóa với khám định kỳ</t>
  </si>
  <si>
    <t xml:space="preserve">Tổng viện phí</t>
  </si>
  <si>
    <t xml:space="preserve">txtTong</t>
  </si>
  <si>
    <t xml:space="preserve">Định kỳ = 0</t>
  </si>
  <si>
    <t xml:space="preserve">Hình thức</t>
  </si>
  <si>
    <t xml:space="preserve">cboHT</t>
  </si>
  <si>
    <t xml:space="preserve">Tiền mặt / Chuyển khoản / Thẻ</t>
  </si>
  <si>
    <t xml:space="preserve">Thanh toán</t>
  </si>
  <si>
    <t xml:space="preserve">btnPay</t>
  </si>
  <si>
    <t xml:space="preserve">Vô hiệu nếu đã thanh toán</t>
  </si>
  <si>
    <t xml:space="preserve">FrmDanhMuc (UC13)</t>
  </si>
  <si>
    <t xml:space="preserve">TabControl 5 trang</t>
  </si>
  <si>
    <t xml:space="preserve">TabControl</t>
  </si>
  <si>
    <t xml:space="preserve">tabs</t>
  </si>
  <si>
    <t xml:space="preserve">Khoa, Bác sĩ, Nhân viên CSKH, Thuốc, Xét nghiệm</t>
  </si>
  <si>
    <t xml:space="preserve">Lưới sửa trực tiếp</t>
  </si>
  <si>
    <t xml:space="preserve">Dòng cuối để thêm mới; Delete để xóa</t>
  </si>
  <si>
    <t xml:space="preserve">Lưu thay đổi / Tải lại</t>
  </si>
  <si>
    <t xml:space="preserve">TỪ ĐIỂN DỮ LIỆU - CSDL QuanLyBenhAn (SQL Server)</t>
  </si>
  <si>
    <t xml:space="preserve">Sinh tự động từ file SQL/01_QuanLyBenhAn.sql</t>
  </si>
  <si>
    <t xml:space="preserve">Bảng</t>
  </si>
  <si>
    <t xml:space="preserve">Cột</t>
  </si>
  <si>
    <t xml:space="preserve">Kiểu dữ liệu</t>
  </si>
  <si>
    <t xml:space="preserve">Khóa</t>
  </si>
  <si>
    <t xml:space="preserve">Cho phép NULL</t>
  </si>
  <si>
    <t xml:space="preserve">Ghi chú</t>
  </si>
  <si>
    <t xml:space="preserve">maKhoa</t>
  </si>
  <si>
    <t xml:space="preserve">VARCHAR(10)</t>
  </si>
  <si>
    <t xml:space="preserve">PK</t>
  </si>
  <si>
    <t xml:space="preserve">tenKhoa</t>
  </si>
  <si>
    <t xml:space="preserve">NVARCHAR(100)</t>
  </si>
  <si>
    <t xml:space="preserve">moTa</t>
  </si>
  <si>
    <t xml:space="preserve">BacSi</t>
  </si>
  <si>
    <t xml:space="preserve">maBS</t>
  </si>
  <si>
    <t xml:space="preserve">FK</t>
  </si>
  <si>
    <t xml:space="preserve">Tham chiếu Khoa(maKhoa)</t>
  </si>
  <si>
    <t xml:space="preserve">hoTen</t>
  </si>
  <si>
    <t xml:space="preserve">chuyenMon</t>
  </si>
  <si>
    <t xml:space="preserve">dienThoai</t>
  </si>
  <si>
    <t xml:space="preserve">VARCHAR(15)</t>
  </si>
  <si>
    <t xml:space="preserve">NhanVienCSKH</t>
  </si>
  <si>
    <t xml:space="preserve">maNV</t>
  </si>
  <si>
    <t xml:space="preserve">Thuoc</t>
  </si>
  <si>
    <t xml:space="preserve">maThuoc</t>
  </si>
  <si>
    <t xml:space="preserve">tenThuoc</t>
  </si>
  <si>
    <t xml:space="preserve">donViTinh</t>
  </si>
  <si>
    <t xml:space="preserve">NVARCHAR(30)</t>
  </si>
  <si>
    <t xml:space="preserve">chiDinh</t>
  </si>
  <si>
    <t xml:space="preserve">tacDungPhu</t>
  </si>
  <si>
    <t xml:space="preserve">XetNghiem</t>
  </si>
  <si>
    <t xml:space="preserve">maXN</t>
  </si>
  <si>
    <t xml:space="preserve">tenXN</t>
  </si>
  <si>
    <t xml:space="preserve">donGia</t>
  </si>
  <si>
    <t xml:space="preserve">DECIMAL(12,0)</t>
  </si>
  <si>
    <t xml:space="preserve">Có giá trị mặc định; Có ràng buộc CHECK</t>
  </si>
  <si>
    <t xml:space="preserve">maBN</t>
  </si>
  <si>
    <t xml:space="preserve">diaChi</t>
  </si>
  <si>
    <t xml:space="preserve">ngaySinh</t>
  </si>
  <si>
    <t xml:space="preserve">DATE</t>
  </si>
  <si>
    <t xml:space="preserve">anh3x4</t>
  </si>
  <si>
    <t xml:space="preserve">VARBINARY(MAX)</t>
  </si>
  <si>
    <t xml:space="preserve">maPhieu</t>
  </si>
  <si>
    <t xml:space="preserve">Tham chiếu BenhNhan(maBN)</t>
  </si>
  <si>
    <t xml:space="preserve">ngayDangKy</t>
  </si>
  <si>
    <t xml:space="preserve">Có giá trị mặc định</t>
  </si>
  <si>
    <t xml:space="preserve">namHieuLuc</t>
  </si>
  <si>
    <t xml:space="preserve">INT</t>
  </si>
  <si>
    <t xml:space="preserve">lePhiNam</t>
  </si>
  <si>
    <t xml:space="preserve">Có ràng buộc CHECK</t>
  </si>
  <si>
    <t xml:space="preserve">daThanhToan</t>
  </si>
  <si>
    <t xml:space="preserve">BIT</t>
  </si>
  <si>
    <t xml:space="preserve">maHS</t>
  </si>
  <si>
    <t xml:space="preserve">Tham chiếu BenhNhan(maBN); Duy nhất</t>
  </si>
  <si>
    <t xml:space="preserve">Tham chiếu PhieuDangKy(maPhieu)</t>
  </si>
  <si>
    <t xml:space="preserve">ngayLap</t>
  </si>
  <si>
    <t xml:space="preserve">ngayHetHan</t>
  </si>
  <si>
    <t xml:space="preserve">trangThai</t>
  </si>
  <si>
    <t xml:space="preserve">maLH</t>
  </si>
  <si>
    <t xml:space="preserve">Tham chiếu NhanVienCSKH(maNV)</t>
  </si>
  <si>
    <t xml:space="preserve">ngayGioHen</t>
  </si>
  <si>
    <t xml:space="preserve">DATETIME</t>
  </si>
  <si>
    <t xml:space="preserve">loaiHen</t>
  </si>
  <si>
    <t xml:space="preserve">NVARCHAR(40)</t>
  </si>
  <si>
    <t xml:space="preserve">maPK</t>
  </si>
  <si>
    <t xml:space="preserve">Tham chiếu HoSoBenhAn(maHS); Xóa theo bảng cha</t>
  </si>
  <si>
    <t xml:space="preserve">Tham chiếu BacSi(maBS)</t>
  </si>
  <si>
    <t xml:space="preserve">Tham chiếu LichHen(maLH)</t>
  </si>
  <si>
    <t xml:space="preserve">ngayGioKham</t>
  </si>
  <si>
    <t xml:space="preserve">loaiKham</t>
  </si>
  <si>
    <t xml:space="preserve">chanDoan</t>
  </si>
  <si>
    <t xml:space="preserve">NVARCHAR(300)</t>
  </si>
  <si>
    <t xml:space="preserve">ketLuan</t>
  </si>
  <si>
    <t xml:space="preserve">TrieuChung</t>
  </si>
  <si>
    <t xml:space="preserve">maTC</t>
  </si>
  <si>
    <t xml:space="preserve">Tham chiếu PhieuKham(maPK); Xóa theo bảng cha</t>
  </si>
  <si>
    <t xml:space="preserve">tenTrieuChung</t>
  </si>
  <si>
    <t xml:space="preserve">giaTri</t>
  </si>
  <si>
    <t xml:space="preserve">donVi</t>
  </si>
  <si>
    <t xml:space="preserve">NVARCHAR(20)</t>
  </si>
  <si>
    <t xml:space="preserve">PK / FK</t>
  </si>
  <si>
    <t xml:space="preserve">Tham chiếu XetNghiem(maXN)</t>
  </si>
  <si>
    <t xml:space="preserve">ngayXN</t>
  </si>
  <si>
    <t xml:space="preserve">ketQua</t>
  </si>
  <si>
    <t xml:space="preserve">ghiChu</t>
  </si>
  <si>
    <t xml:space="preserve">ToaThuoc</t>
  </si>
  <si>
    <t xml:space="preserve">maToa</t>
  </si>
  <si>
    <t xml:space="preserve">Tham chiếu PhieuKham(maPK); Xóa theo bảng cha; Duy nhất</t>
  </si>
  <si>
    <t xml:space="preserve">ngayKe</t>
  </si>
  <si>
    <t xml:space="preserve">loiDan</t>
  </si>
  <si>
    <t xml:space="preserve">ChiTietToaThuoc</t>
  </si>
  <si>
    <t xml:space="preserve">Tham chiếu ToaThuoc(maToa); Xóa theo bảng cha</t>
  </si>
  <si>
    <t xml:space="preserve">Tham chiếu Thuoc(maThuoc)</t>
  </si>
  <si>
    <t xml:space="preserve">soLuong</t>
  </si>
  <si>
    <t xml:space="preserve">lieuDung</t>
  </si>
  <si>
    <t xml:space="preserve">cachDung</t>
  </si>
  <si>
    <t xml:space="preserve">maHD</t>
  </si>
  <si>
    <t xml:space="preserve">ngayThanhToan</t>
  </si>
  <si>
    <t xml:space="preserve">tongVienPhi</t>
  </si>
  <si>
    <t xml:space="preserve">hinhThuc</t>
  </si>
  <si>
    <t xml:space="preserve">TEST CASE</t>
  </si>
  <si>
    <t xml:space="preserve">Điền cột "Kết quả thực tế" và chọn Pass/Fail ở cột "Trạng thái"; bảng tổng hợp tự tính (ô màu vàng là ô cần nhập)</t>
  </si>
  <si>
    <t xml:space="preserve">Tổng hợp kết quả</t>
  </si>
  <si>
    <t xml:space="preserve">Ghi chú: dữ liệu mẫu BN0001-BN0005, HS0001-HS0005, PK0001-PK0004 có sẵn trong file SQL.</t>
  </si>
  <si>
    <t xml:space="preserve">Pass</t>
  </si>
  <si>
    <t xml:space="preserve">Fail</t>
  </si>
  <si>
    <t xml:space="preserve">Chưa chạy</t>
  </si>
  <si>
    <t xml:space="preserve">Tổng</t>
  </si>
  <si>
    <t xml:space="preserve">Mã TC</t>
  </si>
  <si>
    <t xml:space="preserve">Use Case</t>
  </si>
  <si>
    <t xml:space="preserve">Dữ liệu vào</t>
  </si>
  <si>
    <t xml:space="preserve">Kết quả mong đợi</t>
  </si>
  <si>
    <t xml:space="preserve">Kết quả thực tế</t>
  </si>
  <si>
    <t xml:space="preserve">Ngày test</t>
  </si>
  <si>
    <t xml:space="preserve">TC01</t>
  </si>
  <si>
    <t xml:space="preserve">Thêm bệnh nhân hợp lệ</t>
  </si>
  <si>
    <t xml:space="preserve">Họ tên "Nguyễn Văn Test", SĐT 0912345678</t>
  </si>
  <si>
    <t xml:space="preserve">Tạo mã BN mới dạng BNxxxx, hiện trong lưới</t>
  </si>
  <si>
    <t xml:space="preserve">TC02</t>
  </si>
  <si>
    <t xml:space="preserve">Họ tên để trống</t>
  </si>
  <si>
    <t xml:space="preserve">Họ tên rỗng</t>
  </si>
  <si>
    <t xml:space="preserve">Báo "Họ tên không được để trống"</t>
  </si>
  <si>
    <t xml:space="preserve">TC03</t>
  </si>
  <si>
    <t xml:space="preserve">SĐT sai định dạng</t>
  </si>
  <si>
    <t xml:space="preserve">SĐT 12345</t>
  </si>
  <si>
    <t xml:space="preserve">Báo SĐT phải bắt đầu bằng 0 và có 10-11 số</t>
  </si>
  <si>
    <t xml:space="preserve">TC04</t>
  </si>
  <si>
    <t xml:space="preserve">Ngày sinh ở tương lai</t>
  </si>
  <si>
    <t xml:space="preserve">Ngày sinh = ngày mai</t>
  </si>
  <si>
    <t xml:space="preserve">Báo ngày sinh không được lớn hơn hiện tại</t>
  </si>
  <si>
    <t xml:space="preserve">TC05</t>
  </si>
  <si>
    <t xml:space="preserve">Xóa bệnh nhân đã có hồ sơ</t>
  </si>
  <si>
    <t xml:space="preserve">Chọn BN0001, bấm Xóa</t>
  </si>
  <si>
    <t xml:space="preserve">Báo không thể xóa vì đã có hồ sơ</t>
  </si>
  <si>
    <t xml:space="preserve">TC06</t>
  </si>
  <si>
    <t xml:space="preserve">Ảnh vượt 2 MB</t>
  </si>
  <si>
    <t xml:space="preserve">Chọn ảnh &gt; 2 MB</t>
  </si>
  <si>
    <t xml:space="preserve">Báo ảnh tối đa 2 MB, không nạp ảnh</t>
  </si>
  <si>
    <t xml:space="preserve">TC07</t>
  </si>
  <si>
    <t xml:space="preserve">UC02-04</t>
  </si>
  <si>
    <t xml:space="preserve">Đăng ký bệnh nhân mới, đóng lệ phí</t>
  </si>
  <si>
    <t xml:space="preserve">BN mới chưa có hồ sơ, lệ phí 500.000, năm hiện tại</t>
  </si>
  <si>
    <t xml:space="preserve">Tạo PhieuDangKy và HoSoBenhAn, hết hạn 31/12 năm hiệu lực</t>
  </si>
  <si>
    <t xml:space="preserve">TC08</t>
  </si>
  <si>
    <t xml:space="preserve">Lệ phí bằng 0</t>
  </si>
  <si>
    <t xml:space="preserve">Lệ phí 0</t>
  </si>
  <si>
    <t xml:space="preserve">Báo lệ phí phải lớn hơn 0</t>
  </si>
  <si>
    <t xml:space="preserve">TC09</t>
  </si>
  <si>
    <t xml:space="preserve">Năm hiệu lực nhỏ hơn năm hiện tại</t>
  </si>
  <si>
    <t xml:space="preserve">Năm hiệu lực = năm trước</t>
  </si>
  <si>
    <t xml:space="preserve">Báo năm hiệu lực không hợp lệ</t>
  </si>
  <si>
    <t xml:space="preserve">TC10</t>
  </si>
  <si>
    <t xml:space="preserve">Gia hạn hồ sơ đã còn hiệu lực đủ</t>
  </si>
  <si>
    <t xml:space="preserve">BN0001 (hạn 31/12/2026), năm hiệu lực 2026</t>
  </si>
  <si>
    <t xml:space="preserve">Báo hồ sơ đã có hiệu lực, không cần đóng thêm</t>
  </si>
  <si>
    <t xml:space="preserve">TC11</t>
  </si>
  <si>
    <t xml:space="preserve">Tra cứu theo mã hồ sơ</t>
  </si>
  <si>
    <t xml:space="preserve">Nhập HS0001</t>
  </si>
  <si>
    <t xml:space="preserve">Hiện hồ sơ, trang bìa, lịch sử khám PK0002 rồi PK0001</t>
  </si>
  <si>
    <t xml:space="preserve">TC12</t>
  </si>
  <si>
    <t xml:space="preserve">Xem chi tiết phiếu khám</t>
  </si>
  <si>
    <t xml:space="preserve">Chọn PK0001</t>
  </si>
  <si>
    <t xml:space="preserve">Hiện triệu chứng, xét nghiệm, toa thuốc, lời dặn</t>
  </si>
  <si>
    <t xml:space="preserve">TC13</t>
  </si>
  <si>
    <t xml:space="preserve">Đặt lịch hợp lệ</t>
  </si>
  <si>
    <t xml:space="preserve">BN0002, ngày mai 09:00, loại Định kỳ</t>
  </si>
  <si>
    <t xml:space="preserve">Tạo lịch hẹn trạng thái Chờ khám</t>
  </si>
  <si>
    <t xml:space="preserve">TC14</t>
  </si>
  <si>
    <t xml:space="preserve">Giờ hẹn ngoài giờ làm việc</t>
  </si>
  <si>
    <t xml:space="preserve">Ngày mai 20:00</t>
  </si>
  <si>
    <t xml:space="preserve">Báo giờ hẹn phải trong 07:00-17:00</t>
  </si>
  <si>
    <t xml:space="preserve">TC15</t>
  </si>
  <si>
    <t xml:space="preserve">Hẹn trong quá khứ</t>
  </si>
  <si>
    <t xml:space="preserve">Hôm qua 09:00</t>
  </si>
  <si>
    <t xml:space="preserve">Báo ngày giờ hẹn phải ở tương lai</t>
  </si>
  <si>
    <t xml:space="preserve">TC16</t>
  </si>
  <si>
    <t xml:space="preserve">Bệnh nhân chưa có hồ sơ</t>
  </si>
  <si>
    <t xml:space="preserve">Bệnh nhân mới tạo, chưa đăng ký</t>
  </si>
  <si>
    <t xml:space="preserve">Báo chưa có hồ sơ</t>
  </si>
  <si>
    <t xml:space="preserve">TC17</t>
  </si>
  <si>
    <t xml:space="preserve">Xóa lịch đã gắn phiếu khám</t>
  </si>
  <si>
    <t xml:space="preserve">Chọn LH0001</t>
  </si>
  <si>
    <t xml:space="preserve">Báo không thể xóa</t>
  </si>
  <si>
    <t xml:space="preserve">TC18</t>
  </si>
  <si>
    <t xml:space="preserve">Lập phiếu khám điều trị đầy đủ</t>
  </si>
  <si>
    <t xml:space="preserve">HS0002, Điều trị, khoa Nội, BS001, chẩn đoán, 2 triệu chứng</t>
  </si>
  <si>
    <t xml:space="preserve">Tạo PKxxxx kèm triệu chứng</t>
  </si>
  <si>
    <t xml:space="preserve">TC19</t>
  </si>
  <si>
    <t xml:space="preserve">Hồ sơ hết hạn</t>
  </si>
  <si>
    <t xml:space="preserve">Hồ sơ có ngayHetHan nhỏ hơn ngày khám</t>
  </si>
  <si>
    <t xml:space="preserve">Báo hồ sơ đã hết hạn</t>
  </si>
  <si>
    <t xml:space="preserve">TC20</t>
  </si>
  <si>
    <t xml:space="preserve">Bác sĩ không thuộc khoa</t>
  </si>
  <si>
    <t xml:space="preserve">Khoa Nhi, BS001</t>
  </si>
  <si>
    <t xml:space="preserve">Combo bác sĩ chỉ hiện bác sĩ của khoa; nếu ép dữ liệu, báo lỗi</t>
  </si>
  <si>
    <t xml:space="preserve">TC21</t>
  </si>
  <si>
    <t xml:space="preserve">Khám điều trị không có chẩn đoán</t>
  </si>
  <si>
    <t xml:space="preserve">Chẩn đoán trống</t>
  </si>
  <si>
    <t xml:space="preserve">Báo khám điều trị phải có chẩn đoán</t>
  </si>
  <si>
    <t xml:space="preserve">TC22</t>
  </si>
  <si>
    <t xml:space="preserve">Khám định kỳ đầu tiên trong quý</t>
  </si>
  <si>
    <t xml:space="preserve">HS0002, Định kỳ, không chẩn đoán</t>
  </si>
  <si>
    <t xml:space="preserve">Tạo phiếu, chẩn đoán "Không phát hiện bệnh"</t>
  </si>
  <si>
    <t xml:space="preserve">TC23</t>
  </si>
  <si>
    <t xml:space="preserve">Khám định kỳ lần hai cùng quý</t>
  </si>
  <si>
    <t xml:space="preserve">Lặp lại TC22 cùng quý</t>
  </si>
  <si>
    <t xml:space="preserve">Báo đã khám định kỳ trong quý này</t>
  </si>
  <si>
    <t xml:space="preserve">Chỉ định trùng xét nghiệm</t>
  </si>
  <si>
    <t xml:space="preserve">Thêm cùng một xét nghiệm hai lần</t>
  </si>
  <si>
    <t xml:space="preserve">Báo xét nghiệm đã được chỉ định</t>
  </si>
  <si>
    <t xml:space="preserve">PK0001, nhập kết quả cho XN01</t>
  </si>
  <si>
    <t xml:space="preserve">Lưu kết quả; ngày thực hiện được giữ/tự điền</t>
  </si>
  <si>
    <t xml:space="preserve">TC26</t>
  </si>
  <si>
    <t xml:space="preserve">Lập toa 2 thuốc</t>
  </si>
  <si>
    <t xml:space="preserve">PK0004 chưa sửa; thêm T001, T008</t>
  </si>
  <si>
    <t xml:space="preserve">Tạo/ghi đè toa với 2 dòng chi tiết</t>
  </si>
  <si>
    <t xml:space="preserve">TC27</t>
  </si>
  <si>
    <t xml:space="preserve">Toa rỗng</t>
  </si>
  <si>
    <t xml:space="preserve">Không thêm thuốc, bấm Lưu</t>
  </si>
  <si>
    <t xml:space="preserve">Báo toa phải có ít nhất một thuốc</t>
  </si>
  <si>
    <t xml:space="preserve">TC28</t>
  </si>
  <si>
    <t xml:space="preserve">Kê trùng thuốc</t>
  </si>
  <si>
    <t xml:space="preserve">Thêm T001 hai lần</t>
  </si>
  <si>
    <t xml:space="preserve">Báo thuốc đã có trong toa</t>
  </si>
  <si>
    <t xml:space="preserve">TC29</t>
  </si>
  <si>
    <t xml:space="preserve">Số lượng không hợp lệ</t>
  </si>
  <si>
    <t xml:space="preserve">Sửa số lượng thành "abc" hoặc 0</t>
  </si>
  <si>
    <t xml:space="preserve">Báo số lượng phải là số nguyên dương</t>
  </si>
  <si>
    <t xml:space="preserve">TC30</t>
  </si>
  <si>
    <t xml:space="preserve">Thanh toán khám điều trị</t>
  </si>
  <si>
    <t xml:space="preserve">PK có xét nghiệm, chưa thanh toán</t>
  </si>
  <si>
    <t xml:space="preserve">Tổng = tiền XN + phí khác, tạo HDxxxx</t>
  </si>
  <si>
    <t xml:space="preserve">TC31</t>
  </si>
  <si>
    <t xml:space="preserve">Khám định kỳ miễn phí</t>
  </si>
  <si>
    <t xml:space="preserve">Chọn phiếu loại Định kỳ</t>
  </si>
  <si>
    <t xml:space="preserve">Tổng viện phí = 0, không cho nhập phí khác</t>
  </si>
  <si>
    <t xml:space="preserve">TC32</t>
  </si>
  <si>
    <t xml:space="preserve">Thanh toán lần hai</t>
  </si>
  <si>
    <t xml:space="preserve">Chọn phiếu đã thanh toán</t>
  </si>
  <si>
    <t xml:space="preserve">Nút Thanh toán bị vô hiệu</t>
  </si>
  <si>
    <t xml:space="preserve">Thêm thuốc mới ở danh mục</t>
  </si>
  <si>
    <t xml:space="preserve">Dòng mới T009, Vitamin B, Viên</t>
  </si>
  <si>
    <t xml:space="preserve">Lưu thành công, xuất hiện trong lập toa</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</si>
</sst>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2"/>
    <col collapsed="false" customWidth="true" hidden="false" outlineLevel="0" max="4" min="4" style="0" width="18"/>
    <col collapsed="false" customWidth="true" hidden="false" outlineLevel="0" max="5" min="5" style="0" width="50"/>
    <col collapsed="false" customWidth="true" hidden="false" outlineLevel="0" max="6" min="6" style="0" width="10"/>
    <col collapsed="false" customWidth="true" hidden="false" outlineLevel="0" max="7" min="7" style="0" width="18"/>
    <col collapsed="false" customWidth="true" hidden="false" outlineLevel="0" max="8" min="8" style="0" width="36"/>
    <col collapsed="false" customWidth="true" hidden="false" outlineLevel="0" max="9" min="9" style="0" width="28"/>
    <col collapsed="false" customWidth="true" hidden="false" outlineLevel="0" max="10" min="10" style="0" width="12"/>
    <col collapsed="false" customWidth="true" hidden="false" outlineLevel="0" max="11" min="11"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23.85" hidden="false" customHeight="false" outlineLevel="0" collapsed="false">
      <c r="A5" s="4" t="s">
        <v>13</v>
      </c>
      <c r="B5" s="4" t="s">
        <v>14</v>
      </c>
      <c r="C5" s="4" t="s">
        <v>15</v>
      </c>
      <c r="D5" s="4" t="s">
        <v>16</v>
      </c>
      <c r="E5" s="4" t="s">
        <v>17</v>
      </c>
      <c r="F5" s="4" t="s">
        <v>18</v>
      </c>
      <c r="G5" s="4" t="s">
        <v>19</v>
      </c>
      <c r="H5" s="4" t="s">
        <v>20</v>
      </c>
      <c r="I5" s="4" t="s">
        <v>21</v>
      </c>
      <c r="J5" s="4" t="s">
        <v>22</v>
      </c>
      <c r="K5" s="4" t="s">
        <v>23</v>
      </c>
    </row>
    <row r="6" customFormat="false" ht="23.85" hidden="false" customHeight="false" outlineLevel="0" collapsed="false">
      <c r="A6" s="4" t="s">
        <v>24</v>
      </c>
      <c r="B6" s="4" t="s">
        <v>25</v>
      </c>
      <c r="C6" s="4" t="s">
        <v>15</v>
      </c>
      <c r="D6" s="4" t="s">
        <v>26</v>
      </c>
      <c r="E6" s="4" t="s">
        <v>27</v>
      </c>
      <c r="F6" s="4" t="s">
        <v>18</v>
      </c>
      <c r="G6" s="4" t="s">
        <v>19</v>
      </c>
      <c r="H6" s="4" t="s">
        <v>28</v>
      </c>
      <c r="I6" s="4" t="s">
        <v>29</v>
      </c>
      <c r="J6" s="4" t="s">
        <v>30</v>
      </c>
      <c r="K6" s="4" t="s">
        <v>23</v>
      </c>
    </row>
    <row r="7" customFormat="false" ht="23.85" hidden="false" customHeight="false" outlineLevel="0" collapsed="false">
      <c r="A7" s="4" t="s">
        <v>31</v>
      </c>
      <c r="B7" s="4" t="s">
        <v>32</v>
      </c>
      <c r="C7" s="4" t="s">
        <v>33</v>
      </c>
      <c r="D7" s="4" t="s">
        <v>26</v>
      </c>
      <c r="E7" s="4" t="s">
        <v>34</v>
      </c>
      <c r="F7" s="4" t="s">
        <v>18</v>
      </c>
      <c r="G7" s="4" t="s">
        <v>19</v>
      </c>
      <c r="H7" s="4" t="s">
        <v>28</v>
      </c>
      <c r="I7" s="4" t="s">
        <v>29</v>
      </c>
      <c r="J7" s="4" t="s">
        <v>35</v>
      </c>
      <c r="K7" s="4" t="s">
        <v>23</v>
      </c>
    </row>
    <row r="8" customFormat="false" ht="23.85" hidden="false" customHeight="false" outlineLevel="0" collapsed="false">
      <c r="A8" s="4" t="s">
        <v>36</v>
      </c>
      <c r="B8" s="4" t="s">
        <v>37</v>
      </c>
      <c r="C8" s="4" t="s">
        <v>15</v>
      </c>
      <c r="D8" s="4" t="s">
        <v>16</v>
      </c>
      <c r="E8" s="4" t="s">
        <v>38</v>
      </c>
      <c r="F8" s="4" t="s">
        <v>18</v>
      </c>
      <c r="G8" s="4" t="s">
        <v>19</v>
      </c>
      <c r="H8" s="4" t="s">
        <v>28</v>
      </c>
      <c r="I8" s="4" t="s">
        <v>39</v>
      </c>
      <c r="J8" s="4" t="s">
        <v>30</v>
      </c>
      <c r="K8" s="4" t="s">
        <v>23</v>
      </c>
    </row>
    <row r="9" customFormat="false" ht="23.85" hidden="false" customHeight="false" outlineLevel="0" collapsed="false">
      <c r="A9" s="4" t="s">
        <v>40</v>
      </c>
      <c r="B9" s="4" t="s">
        <v>41</v>
      </c>
      <c r="C9" s="4" t="s">
        <v>42</v>
      </c>
      <c r="D9" s="4" t="s">
        <v>26</v>
      </c>
      <c r="E9" s="4" t="s">
        <v>43</v>
      </c>
      <c r="F9" s="4" t="s">
        <v>18</v>
      </c>
      <c r="G9" s="4" t="s">
        <v>44</v>
      </c>
      <c r="H9" s="4" t="s">
        <v>45</v>
      </c>
      <c r="I9" s="4" t="s">
        <v>46</v>
      </c>
      <c r="J9" s="4" t="s">
        <v>47</v>
      </c>
      <c r="K9" s="4" t="s">
        <v>23</v>
      </c>
    </row>
    <row r="10" customFormat="false" ht="23.85" hidden="false" customHeight="false" outlineLevel="0" collapsed="false">
      <c r="A10" s="4" t="s">
        <v>48</v>
      </c>
      <c r="B10" s="4" t="s">
        <v>49</v>
      </c>
      <c r="C10" s="4" t="s">
        <v>15</v>
      </c>
      <c r="D10" s="4" t="s">
        <v>26</v>
      </c>
      <c r="E10" s="4" t="s">
        <v>50</v>
      </c>
      <c r="F10" s="4" t="s">
        <v>51</v>
      </c>
      <c r="G10" s="4" t="s">
        <v>52</v>
      </c>
      <c r="H10" s="4" t="s">
        <v>53</v>
      </c>
      <c r="I10" s="4" t="s">
        <v>54</v>
      </c>
      <c r="J10" s="4" t="s">
        <v>55</v>
      </c>
      <c r="K10" s="4" t="s">
        <v>23</v>
      </c>
    </row>
    <row r="11" customFormat="false" ht="23.85" hidden="false" customHeight="false" outlineLevel="0" collapsed="false">
      <c r="A11" s="4" t="s">
        <v>56</v>
      </c>
      <c r="B11" s="4" t="s">
        <v>57</v>
      </c>
      <c r="C11" s="4" t="s">
        <v>15</v>
      </c>
      <c r="D11" s="4" t="s">
        <v>58</v>
      </c>
      <c r="E11" s="4" t="s">
        <v>59</v>
      </c>
      <c r="F11" s="4" t="s">
        <v>18</v>
      </c>
      <c r="G11" s="4" t="s">
        <v>60</v>
      </c>
      <c r="H11" s="4" t="s">
        <v>61</v>
      </c>
      <c r="I11" s="4" t="s">
        <v>62</v>
      </c>
      <c r="J11" s="4" t="s">
        <v>63</v>
      </c>
      <c r="K11" s="4" t="s">
        <v>23</v>
      </c>
    </row>
    <row r="12" customFormat="false" ht="23.85" hidden="false" customHeight="false" outlineLevel="0" collapsed="false">
      <c r="A12" s="4" t="s">
        <v>64</v>
      </c>
      <c r="B12" s="4" t="s">
        <v>65</v>
      </c>
      <c r="C12" s="4" t="s">
        <v>15</v>
      </c>
      <c r="D12" s="4" t="s">
        <v>66</v>
      </c>
      <c r="E12" s="4" t="s">
        <v>67</v>
      </c>
      <c r="F12" s="4" t="s">
        <v>18</v>
      </c>
      <c r="G12" s="4" t="s">
        <v>60</v>
      </c>
      <c r="H12" s="4" t="s">
        <v>61</v>
      </c>
      <c r="I12" s="4" t="s">
        <v>68</v>
      </c>
      <c r="J12" s="4" t="s">
        <v>69</v>
      </c>
      <c r="K12" s="4" t="s">
        <v>23</v>
      </c>
    </row>
    <row r="13" customFormat="false" ht="23.85" hidden="false" customHeight="false" outlineLevel="0" collapsed="false">
      <c r="A13" s="4" t="s">
        <v>70</v>
      </c>
      <c r="B13" s="4" t="s">
        <v>71</v>
      </c>
      <c r="C13" s="4" t="s">
        <v>72</v>
      </c>
      <c r="D13" s="4" t="s">
        <v>16</v>
      </c>
      <c r="E13" s="4" t="s">
        <v>73</v>
      </c>
      <c r="F13" s="4" t="s">
        <v>51</v>
      </c>
      <c r="G13" s="4" t="s">
        <v>60</v>
      </c>
      <c r="H13" s="4" t="s">
        <v>61</v>
      </c>
      <c r="I13" s="4" t="s">
        <v>74</v>
      </c>
      <c r="J13" s="4" t="s">
        <v>75</v>
      </c>
      <c r="K13" s="4" t="s">
        <v>23</v>
      </c>
    </row>
    <row r="14" customFormat="false" ht="23.85" hidden="false" customHeight="false" outlineLevel="0" collapsed="false">
      <c r="A14" s="4" t="s">
        <v>76</v>
      </c>
      <c r="B14" s="4" t="s">
        <v>77</v>
      </c>
      <c r="C14" s="4" t="s">
        <v>78</v>
      </c>
      <c r="D14" s="4" t="s">
        <v>16</v>
      </c>
      <c r="E14" s="4" t="s">
        <v>79</v>
      </c>
      <c r="F14" s="4" t="s">
        <v>51</v>
      </c>
      <c r="G14" s="4" t="s">
        <v>80</v>
      </c>
      <c r="H14" s="4" t="s">
        <v>81</v>
      </c>
      <c r="I14" s="4" t="s">
        <v>82</v>
      </c>
      <c r="J14" s="4" t="s">
        <v>83</v>
      </c>
      <c r="K14" s="4" t="s">
        <v>23</v>
      </c>
    </row>
    <row r="15" customFormat="false" ht="23.85" hidden="false" customHeight="false" outlineLevel="0" collapsed="false">
      <c r="A15" s="4" t="s">
        <v>84</v>
      </c>
      <c r="B15" s="4" t="s">
        <v>85</v>
      </c>
      <c r="C15" s="4" t="s">
        <v>58</v>
      </c>
      <c r="D15" s="4" t="s">
        <v>16</v>
      </c>
      <c r="E15" s="4" t="s">
        <v>86</v>
      </c>
      <c r="F15" s="4" t="s">
        <v>18</v>
      </c>
      <c r="G15" s="4" t="s">
        <v>87</v>
      </c>
      <c r="H15" s="4" t="s">
        <v>88</v>
      </c>
      <c r="I15" s="4" t="s">
        <v>89</v>
      </c>
      <c r="J15" s="4" t="s">
        <v>90</v>
      </c>
      <c r="K15" s="4" t="s">
        <v>23</v>
      </c>
    </row>
    <row r="16" customFormat="false" ht="15" hidden="false" customHeight="false" outlineLevel="0" collapsed="false">
      <c r="A16" s="4" t="s">
        <v>91</v>
      </c>
      <c r="B16" s="4" t="s">
        <v>92</v>
      </c>
      <c r="C16" s="4" t="s">
        <v>93</v>
      </c>
      <c r="D16" s="4" t="s">
        <v>26</v>
      </c>
      <c r="E16" s="4" t="s">
        <v>94</v>
      </c>
      <c r="F16" s="4" t="s">
        <v>51</v>
      </c>
      <c r="G16" s="4" t="s">
        <v>95</v>
      </c>
      <c r="H16" s="4" t="s">
        <v>96</v>
      </c>
      <c r="I16" s="4" t="s">
        <v>97</v>
      </c>
      <c r="J16" s="4" t="s">
        <v>98</v>
      </c>
      <c r="K16" s="4" t="s">
        <v>23</v>
      </c>
    </row>
    <row r="17" customFormat="false" ht="23.85" hidden="false" customHeight="false" outlineLevel="0" collapsed="false">
      <c r="A17" s="4" t="s">
        <v>99</v>
      </c>
      <c r="B17" s="4" t="s">
        <v>100</v>
      </c>
      <c r="C17" s="4" t="s">
        <v>101</v>
      </c>
      <c r="D17" s="4" t="s">
        <v>16</v>
      </c>
      <c r="E17" s="4" t="s">
        <v>102</v>
      </c>
      <c r="F17" s="4" t="s">
        <v>103</v>
      </c>
      <c r="G17" s="4" t="s">
        <v>104</v>
      </c>
      <c r="H17" s="4" t="s">
        <v>105</v>
      </c>
      <c r="I17" s="4" t="s">
        <v>106</v>
      </c>
      <c r="J17" s="4" t="s">
        <v>107</v>
      </c>
      <c r="K17" s="4" t="s">
        <v>23</v>
      </c>
    </row>
    <row r="18" customFormat="false" ht="23.85" hidden="false" customHeight="false" outlineLevel="0" collapsed="false">
      <c r="A18" s="4" t="s">
        <v>108</v>
      </c>
      <c r="B18" s="4" t="s">
        <v>109</v>
      </c>
      <c r="C18" s="4" t="s">
        <v>110</v>
      </c>
      <c r="D18" s="4" t="s">
        <v>16</v>
      </c>
      <c r="E18" s="4" t="s">
        <v>111</v>
      </c>
      <c r="F18" s="4" t="s">
        <v>103</v>
      </c>
      <c r="G18" s="4" t="s">
        <v>112</v>
      </c>
      <c r="H18" s="4" t="s">
        <v>16</v>
      </c>
      <c r="I18" s="4" t="s">
        <v>113</v>
      </c>
      <c r="J18" s="4" t="s">
        <v>16</v>
      </c>
      <c r="K18" s="4"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7.35" hidden="false" customHeight="false" outlineLevel="0" collapsed="false">
      <c r="A1" s="1" t="s">
        <v>115</v>
      </c>
    </row>
    <row r="3" customFormat="false" ht="21.75" hidden="false" customHeight="true" outlineLevel="0" collapsed="false">
      <c r="A3" s="5" t="s">
        <v>116</v>
      </c>
      <c r="B3" s="5"/>
    </row>
    <row r="4" customFormat="false" ht="15.75" hidden="false" customHeight="true" outlineLevel="0" collapsed="false">
      <c r="A4" s="6" t="s">
        <v>117</v>
      </c>
      <c r="B4" s="4" t="s">
        <v>118</v>
      </c>
    </row>
    <row r="5" customFormat="false" ht="30" hidden="false" customHeight="true" outlineLevel="0" collapsed="false">
      <c r="A5" s="6" t="s">
        <v>6</v>
      </c>
      <c r="B5" s="4" t="s">
        <v>119</v>
      </c>
    </row>
    <row r="6" customFormat="false" ht="15.75" hidden="false" customHeight="true" outlineLevel="0" collapsed="false">
      <c r="A6" s="6" t="s">
        <v>120</v>
      </c>
      <c r="B6" s="4" t="s">
        <v>121</v>
      </c>
    </row>
    <row r="7" customFormat="false" ht="30" hidden="false" customHeight="true" outlineLevel="0" collapsed="false">
      <c r="A7" s="6" t="s">
        <v>122</v>
      </c>
      <c r="B7" s="4" t="s">
        <v>123</v>
      </c>
    </row>
    <row r="8" customFormat="false" ht="114" hidden="false" customHeight="true" outlineLevel="0" collapsed="false">
      <c r="A8" s="6" t="s">
        <v>124</v>
      </c>
      <c r="B8" s="4" t="s">
        <v>125</v>
      </c>
    </row>
    <row r="9" customFormat="false" ht="30" hidden="false" customHeight="true" outlineLevel="0" collapsed="false">
      <c r="A9" s="6" t="s">
        <v>126</v>
      </c>
      <c r="B9" s="4" t="s">
        <v>127</v>
      </c>
    </row>
    <row r="10" customFormat="false" ht="57.75" hidden="false" customHeight="true" outlineLevel="0" collapsed="false">
      <c r="A10" s="6" t="s">
        <v>128</v>
      </c>
      <c r="B10" s="4" t="s">
        <v>129</v>
      </c>
    </row>
    <row r="11" customFormat="false" ht="57.75" hidden="false" customHeight="true" outlineLevel="0" collapsed="false">
      <c r="A11" s="6" t="s">
        <v>130</v>
      </c>
      <c r="B11" s="4" t="s">
        <v>131</v>
      </c>
    </row>
    <row r="12" customFormat="false" ht="15.75" hidden="false" customHeight="true" outlineLevel="0" collapsed="false">
      <c r="A12" s="6" t="s">
        <v>132</v>
      </c>
      <c r="B12" s="4" t="s">
        <v>133</v>
      </c>
    </row>
    <row r="14" customFormat="false" ht="21.75" hidden="false" customHeight="true" outlineLevel="0" collapsed="false">
      <c r="A14" s="5" t="s">
        <v>134</v>
      </c>
      <c r="B14" s="5"/>
    </row>
    <row r="15" customFormat="false" ht="15.75" hidden="false" customHeight="true" outlineLevel="0" collapsed="false">
      <c r="A15" s="6" t="s">
        <v>117</v>
      </c>
      <c r="B15" s="4" t="s">
        <v>135</v>
      </c>
    </row>
    <row r="16" customFormat="false" ht="30" hidden="false" customHeight="true" outlineLevel="0" collapsed="false">
      <c r="A16" s="6" t="s">
        <v>6</v>
      </c>
      <c r="B16" s="4" t="s">
        <v>136</v>
      </c>
    </row>
    <row r="17" customFormat="false" ht="15.75" hidden="false" customHeight="true" outlineLevel="0" collapsed="false">
      <c r="A17" s="6" t="s">
        <v>120</v>
      </c>
      <c r="B17" s="4" t="s">
        <v>137</v>
      </c>
    </row>
    <row r="18" customFormat="false" ht="15.75" hidden="false" customHeight="true" outlineLevel="0" collapsed="false">
      <c r="A18" s="6" t="s">
        <v>122</v>
      </c>
      <c r="B18" s="4" t="s">
        <v>138</v>
      </c>
    </row>
    <row r="19" customFormat="false" ht="57.75" hidden="false" customHeight="true" outlineLevel="0" collapsed="false">
      <c r="A19" s="6" t="s">
        <v>124</v>
      </c>
      <c r="B19" s="4" t="s">
        <v>139</v>
      </c>
    </row>
    <row r="20" customFormat="false" ht="15.75" hidden="false" customHeight="true" outlineLevel="0" collapsed="false">
      <c r="A20" s="6" t="s">
        <v>126</v>
      </c>
      <c r="B20" s="4" t="s">
        <v>140</v>
      </c>
    </row>
    <row r="21" customFormat="false" ht="15.75" hidden="false" customHeight="true" outlineLevel="0" collapsed="false">
      <c r="A21" s="6" t="s">
        <v>128</v>
      </c>
      <c r="B21" s="4" t="s">
        <v>141</v>
      </c>
    </row>
    <row r="22" customFormat="false" ht="30" hidden="false" customHeight="true" outlineLevel="0" collapsed="false">
      <c r="A22" s="6" t="s">
        <v>130</v>
      </c>
      <c r="B22" s="4" t="s">
        <v>142</v>
      </c>
    </row>
    <row r="23" customFormat="false" ht="15.75" hidden="false" customHeight="true" outlineLevel="0" collapsed="false">
      <c r="A23" s="6" t="s">
        <v>132</v>
      </c>
      <c r="B23" s="4" t="s">
        <v>143</v>
      </c>
    </row>
    <row r="25" customFormat="false" ht="21.75" hidden="false" customHeight="true" outlineLevel="0" collapsed="false">
      <c r="A25" s="5" t="s">
        <v>144</v>
      </c>
      <c r="B25" s="5"/>
    </row>
    <row r="26" customFormat="false" ht="15.75" hidden="false" customHeight="true" outlineLevel="0" collapsed="false">
      <c r="A26" s="6" t="s">
        <v>117</v>
      </c>
      <c r="B26" s="4" t="s">
        <v>145</v>
      </c>
    </row>
    <row r="27" customFormat="false" ht="30" hidden="false" customHeight="true" outlineLevel="0" collapsed="false">
      <c r="A27" s="6" t="s">
        <v>6</v>
      </c>
      <c r="B27" s="4" t="s">
        <v>146</v>
      </c>
    </row>
    <row r="28" customFormat="false" ht="15.75" hidden="false" customHeight="true" outlineLevel="0" collapsed="false">
      <c r="A28" s="6" t="s">
        <v>120</v>
      </c>
      <c r="B28" s="4" t="s">
        <v>147</v>
      </c>
    </row>
    <row r="29" customFormat="false" ht="15.75" hidden="false" customHeight="true" outlineLevel="0" collapsed="false">
      <c r="A29" s="6" t="s">
        <v>122</v>
      </c>
      <c r="B29" s="4" t="s">
        <v>148</v>
      </c>
    </row>
    <row r="30" customFormat="false" ht="57.75" hidden="false" customHeight="true" outlineLevel="0" collapsed="false">
      <c r="A30" s="6" t="s">
        <v>124</v>
      </c>
      <c r="B30" s="4" t="s">
        <v>149</v>
      </c>
    </row>
    <row r="31" customFormat="false" ht="30" hidden="false" customHeight="true" outlineLevel="0" collapsed="false">
      <c r="A31" s="6" t="s">
        <v>126</v>
      </c>
      <c r="B31" s="4" t="s">
        <v>150</v>
      </c>
    </row>
    <row r="32" customFormat="false" ht="72" hidden="false" customHeight="true" outlineLevel="0" collapsed="false">
      <c r="A32" s="6" t="s">
        <v>128</v>
      </c>
      <c r="B32" s="4" t="s">
        <v>151</v>
      </c>
    </row>
    <row r="33" customFormat="false" ht="30" hidden="false" customHeight="true" outlineLevel="0" collapsed="false">
      <c r="A33" s="6" t="s">
        <v>130</v>
      </c>
      <c r="B33" s="4" t="s">
        <v>152</v>
      </c>
    </row>
    <row r="34" customFormat="false" ht="15.75" hidden="false" customHeight="true" outlineLevel="0" collapsed="false">
      <c r="A34" s="6" t="s">
        <v>132</v>
      </c>
      <c r="B34" s="4" t="s">
        <v>153</v>
      </c>
    </row>
    <row r="36" customFormat="false" ht="21.75" hidden="false" customHeight="true" outlineLevel="0" collapsed="false">
      <c r="A36" s="5" t="s">
        <v>154</v>
      </c>
      <c r="B36" s="5"/>
    </row>
    <row r="37" customFormat="false" ht="15.75" hidden="false" customHeight="true" outlineLevel="0" collapsed="false">
      <c r="A37" s="6" t="s">
        <v>117</v>
      </c>
      <c r="B37" s="4" t="s">
        <v>155</v>
      </c>
    </row>
    <row r="38" customFormat="false" ht="43.5" hidden="false" customHeight="true" outlineLevel="0" collapsed="false">
      <c r="A38" s="6" t="s">
        <v>6</v>
      </c>
      <c r="B38" s="4" t="s">
        <v>156</v>
      </c>
    </row>
    <row r="39" customFormat="false" ht="15.75" hidden="false" customHeight="true" outlineLevel="0" collapsed="false">
      <c r="A39" s="6" t="s">
        <v>120</v>
      </c>
      <c r="B39" s="4" t="s">
        <v>157</v>
      </c>
    </row>
    <row r="40" customFormat="false" ht="15.75" hidden="false" customHeight="true" outlineLevel="0" collapsed="false">
      <c r="A40" s="6" t="s">
        <v>122</v>
      </c>
      <c r="B40" s="4" t="s">
        <v>158</v>
      </c>
    </row>
    <row r="41" customFormat="false" ht="85.5" hidden="false" customHeight="true" outlineLevel="0" collapsed="false">
      <c r="A41" s="6" t="s">
        <v>124</v>
      </c>
      <c r="B41" s="4" t="s">
        <v>159</v>
      </c>
    </row>
    <row r="42" customFormat="false" ht="30" hidden="false" customHeight="true" outlineLevel="0" collapsed="false">
      <c r="A42" s="6" t="s">
        <v>126</v>
      </c>
      <c r="B42" s="4" t="s">
        <v>160</v>
      </c>
    </row>
    <row r="43" customFormat="false" ht="114" hidden="false" customHeight="true" outlineLevel="0" collapsed="false">
      <c r="A43" s="6" t="s">
        <v>128</v>
      </c>
      <c r="B43" s="4" t="s">
        <v>161</v>
      </c>
    </row>
    <row r="44" customFormat="false" ht="43.5" hidden="false" customHeight="true" outlineLevel="0" collapsed="false">
      <c r="A44" s="6" t="s">
        <v>130</v>
      </c>
      <c r="B44" s="4" t="s">
        <v>162</v>
      </c>
    </row>
    <row r="45" customFormat="false" ht="15.75" hidden="false" customHeight="true" outlineLevel="0" collapsed="false">
      <c r="A45" s="6" t="s">
        <v>132</v>
      </c>
      <c r="B45" s="4" t="s">
        <v>163</v>
      </c>
    </row>
    <row r="47" customFormat="false" ht="21.75" hidden="false" customHeight="true" outlineLevel="0" collapsed="false">
      <c r="A47" s="5" t="s">
        <v>164</v>
      </c>
      <c r="B47" s="5"/>
    </row>
    <row r="48" customFormat="false" ht="15.75" hidden="false" customHeight="true" outlineLevel="0" collapsed="false">
      <c r="A48" s="6" t="s">
        <v>117</v>
      </c>
      <c r="B48" s="4" t="s">
        <v>78</v>
      </c>
    </row>
    <row r="49" customFormat="false" ht="15.75" hidden="false" customHeight="true" outlineLevel="0" collapsed="false">
      <c r="A49" s="6" t="s">
        <v>6</v>
      </c>
      <c r="B49" s="4" t="s">
        <v>165</v>
      </c>
    </row>
    <row r="50" customFormat="false" ht="15.75" hidden="false" customHeight="true" outlineLevel="0" collapsed="false">
      <c r="A50" s="6" t="s">
        <v>120</v>
      </c>
      <c r="B50" s="4" t="s">
        <v>166</v>
      </c>
    </row>
    <row r="51" customFormat="false" ht="15.75" hidden="false" customHeight="true" outlineLevel="0" collapsed="false">
      <c r="A51" s="6" t="s">
        <v>122</v>
      </c>
      <c r="B51" s="4" t="s">
        <v>167</v>
      </c>
    </row>
    <row r="52" customFormat="false" ht="43.5" hidden="false" customHeight="true" outlineLevel="0" collapsed="false">
      <c r="A52" s="6" t="s">
        <v>124</v>
      </c>
      <c r="B52" s="4" t="s">
        <v>168</v>
      </c>
    </row>
    <row r="53" customFormat="false" ht="15.75" hidden="false" customHeight="true" outlineLevel="0" collapsed="false">
      <c r="A53" s="6" t="s">
        <v>126</v>
      </c>
      <c r="B53" s="4" t="s">
        <v>16</v>
      </c>
    </row>
    <row r="54" customFormat="false" ht="30" hidden="false" customHeight="true" outlineLevel="0" collapsed="false">
      <c r="A54" s="6" t="s">
        <v>128</v>
      </c>
      <c r="B54" s="4" t="s">
        <v>169</v>
      </c>
    </row>
    <row r="55" customFormat="false" ht="15.75" hidden="false" customHeight="true" outlineLevel="0" collapsed="false">
      <c r="A55" s="6" t="s">
        <v>130</v>
      </c>
      <c r="B55" s="4" t="s">
        <v>170</v>
      </c>
    </row>
    <row r="56" customFormat="false" ht="15.75" hidden="false" customHeight="true" outlineLevel="0" collapsed="false">
      <c r="A56" s="6" t="s">
        <v>132</v>
      </c>
      <c r="B56" s="4" t="s">
        <v>171</v>
      </c>
    </row>
    <row r="58" customFormat="false" ht="21.75" hidden="false" customHeight="true" outlineLevel="0" collapsed="false">
      <c r="A58" s="5" t="s">
        <v>172</v>
      </c>
      <c r="B58" s="5"/>
    </row>
    <row r="59" customFormat="false" ht="15.75" hidden="false" customHeight="true" outlineLevel="0" collapsed="false">
      <c r="A59" s="6" t="s">
        <v>117</v>
      </c>
      <c r="B59" s="4" t="s">
        <v>58</v>
      </c>
    </row>
    <row r="60" customFormat="false" ht="15.75" hidden="false" customHeight="true" outlineLevel="0" collapsed="false">
      <c r="A60" s="6" t="s">
        <v>6</v>
      </c>
      <c r="B60" s="4" t="s">
        <v>173</v>
      </c>
    </row>
    <row r="61" customFormat="false" ht="15.75" hidden="false" customHeight="true" outlineLevel="0" collapsed="false">
      <c r="A61" s="6" t="s">
        <v>120</v>
      </c>
      <c r="B61" s="4" t="s">
        <v>174</v>
      </c>
    </row>
    <row r="62" customFormat="false" ht="15.75" hidden="false" customHeight="true" outlineLevel="0" collapsed="false">
      <c r="A62" s="6" t="s">
        <v>122</v>
      </c>
      <c r="B62" s="4" t="s">
        <v>175</v>
      </c>
    </row>
    <row r="63" customFormat="false" ht="85.5" hidden="false" customHeight="true" outlineLevel="0" collapsed="false">
      <c r="A63" s="6" t="s">
        <v>124</v>
      </c>
      <c r="B63" s="4" t="s">
        <v>176</v>
      </c>
    </row>
    <row r="64" customFormat="false" ht="30" hidden="false" customHeight="true" outlineLevel="0" collapsed="false">
      <c r="A64" s="6" t="s">
        <v>126</v>
      </c>
      <c r="B64" s="4" t="s">
        <v>177</v>
      </c>
    </row>
    <row r="65" customFormat="false" ht="72" hidden="false" customHeight="true" outlineLevel="0" collapsed="false">
      <c r="A65" s="6" t="s">
        <v>128</v>
      </c>
      <c r="B65" s="4" t="s">
        <v>178</v>
      </c>
    </row>
    <row r="66" customFormat="false" ht="30" hidden="false" customHeight="true" outlineLevel="0" collapsed="false">
      <c r="A66" s="6" t="s">
        <v>130</v>
      </c>
      <c r="B66" s="4" t="s">
        <v>179</v>
      </c>
    </row>
    <row r="67" customFormat="false" ht="15.75" hidden="false" customHeight="true" outlineLevel="0" collapsed="false">
      <c r="A67" s="6" t="s">
        <v>132</v>
      </c>
      <c r="B67" s="4" t="s">
        <v>180</v>
      </c>
    </row>
    <row r="69" customFormat="false" ht="21.75" hidden="false" customHeight="true" outlineLevel="0" collapsed="false">
      <c r="A69" s="5" t="s">
        <v>181</v>
      </c>
      <c r="B69" s="5"/>
    </row>
    <row r="70" customFormat="false" ht="15.75" hidden="false" customHeight="true" outlineLevel="0" collapsed="false">
      <c r="A70" s="6" t="s">
        <v>117</v>
      </c>
      <c r="B70" s="4" t="s">
        <v>182</v>
      </c>
    </row>
    <row r="71" customFormat="false" ht="15.75" hidden="false" customHeight="true" outlineLevel="0" collapsed="false">
      <c r="A71" s="6" t="s">
        <v>6</v>
      </c>
      <c r="B71" s="4" t="s">
        <v>183</v>
      </c>
    </row>
    <row r="72" customFormat="false" ht="15.75" hidden="false" customHeight="true" outlineLevel="0" collapsed="false">
      <c r="A72" s="6" t="s">
        <v>120</v>
      </c>
      <c r="B72" s="4" t="s">
        <v>184</v>
      </c>
    </row>
    <row r="73" customFormat="false" ht="15.75" hidden="false" customHeight="true" outlineLevel="0" collapsed="false">
      <c r="A73" s="6" t="s">
        <v>122</v>
      </c>
      <c r="B73" s="4" t="s">
        <v>185</v>
      </c>
    </row>
    <row r="74" customFormat="false" ht="57.75" hidden="false" customHeight="true" outlineLevel="0" collapsed="false">
      <c r="A74" s="6" t="s">
        <v>124</v>
      </c>
      <c r="B74" s="4" t="s">
        <v>186</v>
      </c>
    </row>
    <row r="75" customFormat="false" ht="15.75" hidden="false" customHeight="true" outlineLevel="0" collapsed="false">
      <c r="A75" s="6" t="s">
        <v>126</v>
      </c>
      <c r="B75" s="4" t="s">
        <v>187</v>
      </c>
    </row>
    <row r="76" customFormat="false" ht="43.5" hidden="false" customHeight="true" outlineLevel="0" collapsed="false">
      <c r="A76" s="6" t="s">
        <v>128</v>
      </c>
      <c r="B76" s="4" t="s">
        <v>188</v>
      </c>
    </row>
    <row r="77" customFormat="false" ht="30" hidden="false" customHeight="true" outlineLevel="0" collapsed="false">
      <c r="A77" s="6" t="s">
        <v>130</v>
      </c>
      <c r="B77" s="4" t="s">
        <v>189</v>
      </c>
    </row>
    <row r="78" customFormat="false" ht="15.75" hidden="false" customHeight="true" outlineLevel="0" collapsed="false">
      <c r="A78" s="6" t="s">
        <v>132</v>
      </c>
      <c r="B78" s="4" t="s">
        <v>190</v>
      </c>
    </row>
    <row r="80" customFormat="false" ht="21.75" hidden="false" customHeight="true" outlineLevel="0" collapsed="false">
      <c r="A80" s="5" t="s">
        <v>191</v>
      </c>
      <c r="B80" s="5"/>
    </row>
    <row r="81" customFormat="false" ht="15.75" hidden="false" customHeight="true" outlineLevel="0" collapsed="false">
      <c r="A81" s="6" t="s">
        <v>117</v>
      </c>
      <c r="B81" s="4" t="s">
        <v>192</v>
      </c>
    </row>
    <row r="82" customFormat="false" ht="15.75" hidden="false" customHeight="true" outlineLevel="0" collapsed="false">
      <c r="A82" s="6" t="s">
        <v>6</v>
      </c>
      <c r="B82" s="4" t="s">
        <v>193</v>
      </c>
    </row>
    <row r="83" customFormat="false" ht="15.75" hidden="false" customHeight="true" outlineLevel="0" collapsed="false">
      <c r="A83" s="6" t="s">
        <v>120</v>
      </c>
      <c r="B83" s="4" t="s">
        <v>194</v>
      </c>
    </row>
    <row r="84" customFormat="false" ht="15.75" hidden="false" customHeight="true" outlineLevel="0" collapsed="false">
      <c r="A84" s="6" t="s">
        <v>122</v>
      </c>
      <c r="B84" s="4" t="s">
        <v>195</v>
      </c>
    </row>
    <row r="85" customFormat="false" ht="43.5" hidden="false" customHeight="true" outlineLevel="0" collapsed="false">
      <c r="A85" s="6" t="s">
        <v>124</v>
      </c>
      <c r="B85" s="4" t="s">
        <v>196</v>
      </c>
    </row>
    <row r="86" customFormat="false" ht="15.75" hidden="false" customHeight="true" outlineLevel="0" collapsed="false">
      <c r="A86" s="6" t="s">
        <v>126</v>
      </c>
      <c r="B86" s="4" t="s">
        <v>16</v>
      </c>
    </row>
    <row r="87" customFormat="false" ht="43.5" hidden="false" customHeight="true" outlineLevel="0" collapsed="false">
      <c r="A87" s="6" t="s">
        <v>128</v>
      </c>
      <c r="B87" s="4" t="s">
        <v>197</v>
      </c>
    </row>
    <row r="88" customFormat="false" ht="30" hidden="false" customHeight="true" outlineLevel="0" collapsed="false">
      <c r="A88" s="6" t="s">
        <v>130</v>
      </c>
      <c r="B88" s="4" t="s">
        <v>198</v>
      </c>
    </row>
    <row r="89" customFormat="false" ht="15.75" hidden="false" customHeight="true" outlineLevel="0" collapsed="false">
      <c r="A89" s="6" t="s">
        <v>132</v>
      </c>
      <c r="B89" s="4" t="s">
        <v>199</v>
      </c>
    </row>
  </sheetData>
  <mergeCells count="8">
    <mergeCell ref="A3:B3"/>
    <mergeCell ref="A14:B14"/>
    <mergeCell ref="A25:B25"/>
    <mergeCell ref="A36:B36"/>
    <mergeCell ref="A47:B47"/>
    <mergeCell ref="A58:B58"/>
    <mergeCell ref="A69:B69"/>
    <mergeCell ref="A80:B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30"/>
    <col collapsed="false" customWidth="true" hidden="false" outlineLevel="0" max="4" min="4" style="0" width="20"/>
    <col collapsed="false" customWidth="true" hidden="false" outlineLevel="0" max="5" min="5" style="0" width="16"/>
    <col collapsed="false" customWidth="true" hidden="false" outlineLevel="0" max="6" min="6" style="0" width="50"/>
  </cols>
  <sheetData>
    <row r="1" customFormat="false" ht="17.35" hidden="false" customHeight="false" outlineLevel="0" collapsed="false">
      <c r="A1" s="1" t="s">
        <v>200</v>
      </c>
    </row>
    <row r="2" customFormat="false" ht="15" hidden="false" customHeight="false" outlineLevel="0" collapsed="false">
      <c r="A2" s="2" t="s">
        <v>201</v>
      </c>
    </row>
    <row r="4" customFormat="false" ht="15" hidden="false" customHeight="false" outlineLevel="0" collapsed="false">
      <c r="A4" s="3" t="s">
        <v>202</v>
      </c>
      <c r="B4" s="3" t="s">
        <v>203</v>
      </c>
      <c r="C4" s="3" t="s">
        <v>204</v>
      </c>
      <c r="D4" s="3" t="s">
        <v>205</v>
      </c>
      <c r="E4" s="3" t="s">
        <v>206</v>
      </c>
      <c r="F4" s="3" t="s">
        <v>207</v>
      </c>
    </row>
    <row r="5" customFormat="false" ht="23.85" hidden="false" customHeight="false" outlineLevel="0" collapsed="false">
      <c r="A5" s="4" t="s">
        <v>208</v>
      </c>
      <c r="B5" s="4" t="s">
        <v>209</v>
      </c>
      <c r="C5" s="4" t="s">
        <v>210</v>
      </c>
      <c r="D5" s="4" t="s">
        <v>211</v>
      </c>
      <c r="E5" s="4" t="s">
        <v>212</v>
      </c>
      <c r="F5" s="4" t="s">
        <v>213</v>
      </c>
    </row>
    <row r="6" customFormat="false" ht="15" hidden="false" customHeight="false" outlineLevel="0" collapsed="false">
      <c r="A6" s="4" t="s">
        <v>208</v>
      </c>
      <c r="B6" s="4" t="s">
        <v>214</v>
      </c>
      <c r="C6" s="4" t="s">
        <v>215</v>
      </c>
      <c r="D6" s="4" t="s">
        <v>16</v>
      </c>
      <c r="E6" s="4" t="s">
        <v>16</v>
      </c>
      <c r="F6" s="4" t="s">
        <v>216</v>
      </c>
    </row>
    <row r="7" customFormat="false" ht="15" hidden="false" customHeight="false" outlineLevel="0" collapsed="false">
      <c r="A7" s="4" t="s">
        <v>217</v>
      </c>
      <c r="B7" s="4" t="s">
        <v>218</v>
      </c>
      <c r="C7" s="4" t="s">
        <v>219</v>
      </c>
      <c r="D7" s="4" t="s">
        <v>220</v>
      </c>
      <c r="E7" s="4" t="s">
        <v>221</v>
      </c>
      <c r="F7" s="4" t="s">
        <v>222</v>
      </c>
    </row>
    <row r="8" customFormat="false" ht="15" hidden="false" customHeight="false" outlineLevel="0" collapsed="false">
      <c r="A8" s="4" t="s">
        <v>217</v>
      </c>
      <c r="B8" s="4" t="s">
        <v>223</v>
      </c>
      <c r="C8" s="4" t="s">
        <v>224</v>
      </c>
      <c r="D8" s="4" t="s">
        <v>225</v>
      </c>
      <c r="E8" s="4" t="s">
        <v>16</v>
      </c>
      <c r="F8" s="4" t="s">
        <v>226</v>
      </c>
    </row>
    <row r="9" customFormat="false" ht="15" hidden="false" customHeight="false" outlineLevel="0" collapsed="false">
      <c r="A9" s="4" t="s">
        <v>217</v>
      </c>
      <c r="B9" s="4" t="s">
        <v>227</v>
      </c>
      <c r="C9" s="4" t="s">
        <v>228</v>
      </c>
      <c r="D9" s="4" t="s">
        <v>229</v>
      </c>
      <c r="E9" s="4" t="s">
        <v>16</v>
      </c>
      <c r="F9" s="4" t="s">
        <v>230</v>
      </c>
    </row>
    <row r="10" customFormat="false" ht="15" hidden="false" customHeight="false" outlineLevel="0" collapsed="false">
      <c r="A10" s="4" t="s">
        <v>217</v>
      </c>
      <c r="B10" s="4" t="s">
        <v>231</v>
      </c>
      <c r="C10" s="4" t="s">
        <v>219</v>
      </c>
      <c r="D10" s="4" t="s">
        <v>232</v>
      </c>
      <c r="E10" s="4" t="s">
        <v>212</v>
      </c>
      <c r="F10" s="4" t="s">
        <v>233</v>
      </c>
    </row>
    <row r="11" customFormat="false" ht="15" hidden="false" customHeight="false" outlineLevel="0" collapsed="false">
      <c r="A11" s="4" t="s">
        <v>217</v>
      </c>
      <c r="B11" s="4" t="s">
        <v>234</v>
      </c>
      <c r="C11" s="4" t="s">
        <v>219</v>
      </c>
      <c r="D11" s="4" t="s">
        <v>235</v>
      </c>
      <c r="E11" s="4" t="s">
        <v>221</v>
      </c>
      <c r="F11" s="4" t="s">
        <v>236</v>
      </c>
    </row>
    <row r="12" customFormat="false" ht="15" hidden="false" customHeight="false" outlineLevel="0" collapsed="false">
      <c r="A12" s="4" t="s">
        <v>217</v>
      </c>
      <c r="B12" s="4" t="s">
        <v>237</v>
      </c>
      <c r="C12" s="4" t="s">
        <v>238</v>
      </c>
      <c r="D12" s="4" t="s">
        <v>239</v>
      </c>
      <c r="E12" s="4" t="s">
        <v>221</v>
      </c>
      <c r="F12" s="4" t="s">
        <v>240</v>
      </c>
    </row>
    <row r="13" customFormat="false" ht="15" hidden="false" customHeight="false" outlineLevel="0" collapsed="false">
      <c r="A13" s="4" t="s">
        <v>217</v>
      </c>
      <c r="B13" s="4" t="s">
        <v>241</v>
      </c>
      <c r="C13" s="4" t="s">
        <v>219</v>
      </c>
      <c r="D13" s="4" t="s">
        <v>242</v>
      </c>
      <c r="E13" s="4" t="s">
        <v>221</v>
      </c>
      <c r="F13" s="4" t="s">
        <v>243</v>
      </c>
    </row>
    <row r="14" customFormat="false" ht="15" hidden="false" customHeight="false" outlineLevel="0" collapsed="false">
      <c r="A14" s="4" t="s">
        <v>217</v>
      </c>
      <c r="B14" s="4" t="s">
        <v>244</v>
      </c>
      <c r="C14" s="4" t="s">
        <v>245</v>
      </c>
      <c r="D14" s="4" t="s">
        <v>246</v>
      </c>
      <c r="E14" s="4" t="s">
        <v>221</v>
      </c>
      <c r="F14" s="4" t="s">
        <v>247</v>
      </c>
    </row>
    <row r="15" customFormat="false" ht="23.85" hidden="false" customHeight="false" outlineLevel="0" collapsed="false">
      <c r="A15" s="4" t="s">
        <v>217</v>
      </c>
      <c r="B15" s="4" t="s">
        <v>248</v>
      </c>
      <c r="C15" s="4" t="s">
        <v>249</v>
      </c>
      <c r="D15" s="4" t="s">
        <v>16</v>
      </c>
      <c r="E15" s="4" t="s">
        <v>16</v>
      </c>
      <c r="F15" s="4" t="s">
        <v>250</v>
      </c>
    </row>
    <row r="16" customFormat="false" ht="15" hidden="false" customHeight="false" outlineLevel="0" collapsed="false">
      <c r="A16" s="4" t="s">
        <v>217</v>
      </c>
      <c r="B16" s="4" t="s">
        <v>251</v>
      </c>
      <c r="C16" s="4" t="s">
        <v>252</v>
      </c>
      <c r="D16" s="4" t="s">
        <v>253</v>
      </c>
      <c r="E16" s="4" t="s">
        <v>212</v>
      </c>
      <c r="F16" s="4" t="s">
        <v>254</v>
      </c>
    </row>
    <row r="17" customFormat="false" ht="15" hidden="false" customHeight="false" outlineLevel="0" collapsed="false">
      <c r="A17" s="4" t="s">
        <v>217</v>
      </c>
      <c r="B17" s="4" t="s">
        <v>255</v>
      </c>
      <c r="C17" s="4" t="s">
        <v>252</v>
      </c>
      <c r="D17" s="4" t="s">
        <v>256</v>
      </c>
      <c r="E17" s="4" t="s">
        <v>212</v>
      </c>
      <c r="F17" s="4" t="s">
        <v>257</v>
      </c>
    </row>
    <row r="18" customFormat="false" ht="15" hidden="false" customHeight="false" outlineLevel="0" collapsed="false">
      <c r="A18" s="4" t="s">
        <v>217</v>
      </c>
      <c r="B18" s="4" t="s">
        <v>258</v>
      </c>
      <c r="C18" s="4" t="s">
        <v>249</v>
      </c>
      <c r="D18" s="4" t="s">
        <v>16</v>
      </c>
      <c r="E18" s="4" t="s">
        <v>16</v>
      </c>
      <c r="F18" s="4" t="s">
        <v>259</v>
      </c>
    </row>
    <row r="19" customFormat="false" ht="15" hidden="false" customHeight="false" outlineLevel="0" collapsed="false">
      <c r="A19" s="4" t="s">
        <v>260</v>
      </c>
      <c r="B19" s="4" t="s">
        <v>261</v>
      </c>
      <c r="C19" s="4" t="s">
        <v>219</v>
      </c>
      <c r="D19" s="4" t="s">
        <v>220</v>
      </c>
      <c r="E19" s="4" t="s">
        <v>221</v>
      </c>
      <c r="F19" s="4" t="s">
        <v>262</v>
      </c>
    </row>
    <row r="20" customFormat="false" ht="15" hidden="false" customHeight="false" outlineLevel="0" collapsed="false">
      <c r="A20" s="4" t="s">
        <v>260</v>
      </c>
      <c r="B20" s="4" t="s">
        <v>263</v>
      </c>
      <c r="C20" s="4" t="s">
        <v>224</v>
      </c>
      <c r="D20" s="4" t="s">
        <v>264</v>
      </c>
      <c r="E20" s="4" t="s">
        <v>16</v>
      </c>
      <c r="F20" s="4" t="s">
        <v>265</v>
      </c>
    </row>
    <row r="21" customFormat="false" ht="15" hidden="false" customHeight="false" outlineLevel="0" collapsed="false">
      <c r="A21" s="4" t="s">
        <v>260</v>
      </c>
      <c r="B21" s="4" t="s">
        <v>266</v>
      </c>
      <c r="C21" s="4" t="s">
        <v>267</v>
      </c>
      <c r="D21" s="4" t="s">
        <v>268</v>
      </c>
      <c r="E21" s="4" t="s">
        <v>16</v>
      </c>
      <c r="F21" s="4" t="s">
        <v>269</v>
      </c>
    </row>
    <row r="22" customFormat="false" ht="15" hidden="false" customHeight="false" outlineLevel="0" collapsed="false">
      <c r="A22" s="4" t="s">
        <v>260</v>
      </c>
      <c r="B22" s="4" t="s">
        <v>270</v>
      </c>
      <c r="C22" s="4" t="s">
        <v>224</v>
      </c>
      <c r="D22" s="4" t="s">
        <v>271</v>
      </c>
      <c r="E22" s="4" t="s">
        <v>16</v>
      </c>
      <c r="F22" s="4" t="s">
        <v>272</v>
      </c>
    </row>
    <row r="23" customFormat="false" ht="15" hidden="false" customHeight="false" outlineLevel="0" collapsed="false">
      <c r="A23" s="4" t="s">
        <v>260</v>
      </c>
      <c r="B23" s="4" t="s">
        <v>273</v>
      </c>
      <c r="C23" s="4" t="s">
        <v>274</v>
      </c>
      <c r="D23" s="4" t="s">
        <v>275</v>
      </c>
      <c r="E23" s="4" t="s">
        <v>16</v>
      </c>
      <c r="F23" s="4" t="s">
        <v>276</v>
      </c>
    </row>
    <row r="24" customFormat="false" ht="15" hidden="false" customHeight="false" outlineLevel="0" collapsed="false">
      <c r="A24" s="4" t="s">
        <v>277</v>
      </c>
      <c r="B24" s="4" t="s">
        <v>218</v>
      </c>
      <c r="C24" s="4" t="s">
        <v>219</v>
      </c>
      <c r="D24" s="4" t="s">
        <v>220</v>
      </c>
      <c r="E24" s="4" t="s">
        <v>221</v>
      </c>
      <c r="F24" s="4" t="s">
        <v>278</v>
      </c>
    </row>
    <row r="25" customFormat="false" ht="15" hidden="false" customHeight="false" outlineLevel="0" collapsed="false">
      <c r="A25" s="4" t="s">
        <v>277</v>
      </c>
      <c r="B25" s="4" t="s">
        <v>279</v>
      </c>
      <c r="C25" s="4" t="s">
        <v>224</v>
      </c>
      <c r="D25" s="4" t="s">
        <v>225</v>
      </c>
      <c r="E25" s="4" t="s">
        <v>16</v>
      </c>
      <c r="F25" s="4"/>
    </row>
    <row r="26" customFormat="false" ht="15" hidden="false" customHeight="false" outlineLevel="0" collapsed="false">
      <c r="A26" s="4" t="s">
        <v>277</v>
      </c>
      <c r="B26" s="4" t="s">
        <v>227</v>
      </c>
      <c r="C26" s="4" t="s">
        <v>219</v>
      </c>
      <c r="D26" s="4" t="s">
        <v>280</v>
      </c>
      <c r="E26" s="4" t="s">
        <v>212</v>
      </c>
      <c r="F26" s="4" t="s">
        <v>281</v>
      </c>
    </row>
    <row r="27" customFormat="false" ht="15" hidden="false" customHeight="false" outlineLevel="0" collapsed="false">
      <c r="A27" s="4" t="s">
        <v>277</v>
      </c>
      <c r="B27" s="4" t="s">
        <v>282</v>
      </c>
      <c r="C27" s="4" t="s">
        <v>283</v>
      </c>
      <c r="D27" s="4" t="s">
        <v>284</v>
      </c>
      <c r="E27" s="4" t="s">
        <v>212</v>
      </c>
      <c r="F27" s="4" t="s">
        <v>285</v>
      </c>
    </row>
    <row r="28" customFormat="false" ht="15" hidden="false" customHeight="false" outlineLevel="0" collapsed="false">
      <c r="A28" s="4" t="s">
        <v>277</v>
      </c>
      <c r="B28" s="4" t="s">
        <v>286</v>
      </c>
      <c r="C28" s="4" t="s">
        <v>287</v>
      </c>
      <c r="D28" s="4" t="s">
        <v>288</v>
      </c>
      <c r="E28" s="4" t="s">
        <v>212</v>
      </c>
      <c r="F28" s="4" t="s">
        <v>289</v>
      </c>
    </row>
    <row r="29" customFormat="false" ht="15" hidden="false" customHeight="false" outlineLevel="0" collapsed="false">
      <c r="A29" s="4" t="s">
        <v>277</v>
      </c>
      <c r="B29" s="4" t="s">
        <v>290</v>
      </c>
      <c r="C29" s="4" t="s">
        <v>283</v>
      </c>
      <c r="D29" s="4" t="s">
        <v>291</v>
      </c>
      <c r="E29" s="4" t="s">
        <v>212</v>
      </c>
      <c r="F29" s="4" t="s">
        <v>292</v>
      </c>
    </row>
    <row r="30" customFormat="false" ht="15" hidden="false" customHeight="false" outlineLevel="0" collapsed="false">
      <c r="A30" s="4" t="s">
        <v>277</v>
      </c>
      <c r="B30" s="4" t="s">
        <v>293</v>
      </c>
      <c r="C30" s="4" t="s">
        <v>283</v>
      </c>
      <c r="D30" s="4" t="s">
        <v>294</v>
      </c>
      <c r="E30" s="4" t="s">
        <v>16</v>
      </c>
      <c r="F30" s="4" t="s">
        <v>295</v>
      </c>
    </row>
    <row r="31" customFormat="false" ht="15" hidden="false" customHeight="false" outlineLevel="0" collapsed="false">
      <c r="A31" s="4" t="s">
        <v>277</v>
      </c>
      <c r="B31" s="4" t="s">
        <v>296</v>
      </c>
      <c r="C31" s="4" t="s">
        <v>249</v>
      </c>
      <c r="D31" s="4" t="s">
        <v>16</v>
      </c>
      <c r="E31" s="4" t="s">
        <v>16</v>
      </c>
      <c r="F31" s="4"/>
    </row>
    <row r="32" customFormat="false" ht="15" hidden="false" customHeight="false" outlineLevel="0" collapsed="false">
      <c r="A32" s="4" t="s">
        <v>297</v>
      </c>
      <c r="B32" s="4" t="s">
        <v>298</v>
      </c>
      <c r="C32" s="4" t="s">
        <v>299</v>
      </c>
      <c r="D32" s="4" t="s">
        <v>300</v>
      </c>
      <c r="E32" s="4" t="s">
        <v>212</v>
      </c>
      <c r="F32" s="4" t="s">
        <v>301</v>
      </c>
    </row>
    <row r="33" customFormat="false" ht="15" hidden="false" customHeight="false" outlineLevel="0" collapsed="false">
      <c r="A33" s="4" t="s">
        <v>297</v>
      </c>
      <c r="B33" s="4" t="s">
        <v>302</v>
      </c>
      <c r="C33" s="4" t="s">
        <v>283</v>
      </c>
      <c r="D33" s="4" t="s">
        <v>291</v>
      </c>
      <c r="E33" s="4" t="s">
        <v>212</v>
      </c>
      <c r="F33" s="4" t="s">
        <v>303</v>
      </c>
    </row>
    <row r="34" customFormat="false" ht="15" hidden="false" customHeight="false" outlineLevel="0" collapsed="false">
      <c r="A34" s="4" t="s">
        <v>297</v>
      </c>
      <c r="B34" s="4" t="s">
        <v>304</v>
      </c>
      <c r="C34" s="4" t="s">
        <v>287</v>
      </c>
      <c r="D34" s="4" t="s">
        <v>288</v>
      </c>
      <c r="E34" s="4" t="s">
        <v>212</v>
      </c>
      <c r="F34" s="4" t="s">
        <v>305</v>
      </c>
    </row>
    <row r="35" customFormat="false" ht="15" hidden="false" customHeight="false" outlineLevel="0" collapsed="false">
      <c r="A35" s="4" t="s">
        <v>297</v>
      </c>
      <c r="B35" s="4" t="s">
        <v>306</v>
      </c>
      <c r="C35" s="4" t="s">
        <v>283</v>
      </c>
      <c r="D35" s="4" t="s">
        <v>307</v>
      </c>
      <c r="E35" s="4" t="s">
        <v>212</v>
      </c>
      <c r="F35" s="4" t="s">
        <v>308</v>
      </c>
    </row>
    <row r="36" customFormat="false" ht="15" hidden="false" customHeight="false" outlineLevel="0" collapsed="false">
      <c r="A36" s="4" t="s">
        <v>297</v>
      </c>
      <c r="B36" s="4" t="s">
        <v>58</v>
      </c>
      <c r="C36" s="4" t="s">
        <v>283</v>
      </c>
      <c r="D36" s="4" t="s">
        <v>309</v>
      </c>
      <c r="E36" s="4" t="s">
        <v>212</v>
      </c>
      <c r="F36" s="4" t="s">
        <v>310</v>
      </c>
    </row>
    <row r="37" customFormat="false" ht="15" hidden="false" customHeight="false" outlineLevel="0" collapsed="false">
      <c r="A37" s="4" t="s">
        <v>297</v>
      </c>
      <c r="B37" s="4" t="s">
        <v>311</v>
      </c>
      <c r="C37" s="4" t="s">
        <v>283</v>
      </c>
      <c r="D37" s="4" t="s">
        <v>284</v>
      </c>
      <c r="E37" s="4" t="s">
        <v>212</v>
      </c>
      <c r="F37" s="4"/>
    </row>
    <row r="38" customFormat="false" ht="15" hidden="false" customHeight="false" outlineLevel="0" collapsed="false">
      <c r="A38" s="4" t="s">
        <v>297</v>
      </c>
      <c r="B38" s="4" t="s">
        <v>312</v>
      </c>
      <c r="C38" s="4" t="s">
        <v>283</v>
      </c>
      <c r="D38" s="4" t="s">
        <v>313</v>
      </c>
      <c r="E38" s="4" t="s">
        <v>221</v>
      </c>
      <c r="F38" s="4" t="s">
        <v>314</v>
      </c>
    </row>
    <row r="39" customFormat="false" ht="23.85" hidden="false" customHeight="false" outlineLevel="0" collapsed="false">
      <c r="A39" s="4" t="s">
        <v>297</v>
      </c>
      <c r="B39" s="4" t="s">
        <v>315</v>
      </c>
      <c r="C39" s="4" t="s">
        <v>274</v>
      </c>
      <c r="D39" s="4" t="s">
        <v>316</v>
      </c>
      <c r="E39" s="4" t="s">
        <v>317</v>
      </c>
      <c r="F39" s="4"/>
    </row>
    <row r="40" customFormat="false" ht="15" hidden="false" customHeight="false" outlineLevel="0" collapsed="false">
      <c r="A40" s="4" t="s">
        <v>297</v>
      </c>
      <c r="B40" s="4" t="s">
        <v>318</v>
      </c>
      <c r="C40" s="4" t="s">
        <v>319</v>
      </c>
      <c r="D40" s="4" t="s">
        <v>320</v>
      </c>
      <c r="E40" s="4" t="s">
        <v>221</v>
      </c>
      <c r="F40" s="4" t="s">
        <v>321</v>
      </c>
    </row>
    <row r="41" customFormat="false" ht="15" hidden="false" customHeight="false" outlineLevel="0" collapsed="false">
      <c r="A41" s="4" t="s">
        <v>297</v>
      </c>
      <c r="B41" s="4" t="s">
        <v>71</v>
      </c>
      <c r="C41" s="4" t="s">
        <v>322</v>
      </c>
      <c r="D41" s="4" t="s">
        <v>323</v>
      </c>
      <c r="E41" s="4" t="s">
        <v>221</v>
      </c>
      <c r="F41" s="4" t="s">
        <v>324</v>
      </c>
    </row>
    <row r="42" customFormat="false" ht="15" hidden="false" customHeight="false" outlineLevel="0" collapsed="false">
      <c r="A42" s="4" t="s">
        <v>297</v>
      </c>
      <c r="B42" s="4" t="s">
        <v>325</v>
      </c>
      <c r="C42" s="4" t="s">
        <v>319</v>
      </c>
      <c r="D42" s="4" t="s">
        <v>326</v>
      </c>
      <c r="E42" s="4" t="s">
        <v>16</v>
      </c>
      <c r="F42" s="4" t="s">
        <v>327</v>
      </c>
    </row>
    <row r="43" customFormat="false" ht="15" hidden="false" customHeight="false" outlineLevel="0" collapsed="false">
      <c r="A43" s="4" t="s">
        <v>297</v>
      </c>
      <c r="B43" s="4" t="s">
        <v>328</v>
      </c>
      <c r="C43" s="4" t="s">
        <v>249</v>
      </c>
      <c r="D43" s="4" t="s">
        <v>16</v>
      </c>
      <c r="E43" s="4" t="s">
        <v>16</v>
      </c>
      <c r="F43" s="4" t="s">
        <v>329</v>
      </c>
    </row>
    <row r="44" customFormat="false" ht="15" hidden="false" customHeight="false" outlineLevel="0" collapsed="false">
      <c r="A44" s="4" t="s">
        <v>330</v>
      </c>
      <c r="B44" s="4" t="s">
        <v>331</v>
      </c>
      <c r="C44" s="4" t="s">
        <v>299</v>
      </c>
      <c r="D44" s="4" t="s">
        <v>332</v>
      </c>
      <c r="E44" s="4" t="s">
        <v>212</v>
      </c>
      <c r="F44" s="4"/>
    </row>
    <row r="45" customFormat="false" ht="15" hidden="false" customHeight="false" outlineLevel="0" collapsed="false">
      <c r="A45" s="4" t="s">
        <v>330</v>
      </c>
      <c r="B45" s="4" t="s">
        <v>325</v>
      </c>
      <c r="C45" s="4" t="s">
        <v>224</v>
      </c>
      <c r="D45" s="4" t="s">
        <v>225</v>
      </c>
      <c r="E45" s="4" t="s">
        <v>16</v>
      </c>
      <c r="F45" s="4" t="s">
        <v>333</v>
      </c>
    </row>
    <row r="46" customFormat="false" ht="15" hidden="false" customHeight="false" outlineLevel="0" collapsed="false">
      <c r="A46" s="4" t="s">
        <v>330</v>
      </c>
      <c r="B46" s="4" t="s">
        <v>334</v>
      </c>
      <c r="C46" s="4" t="s">
        <v>249</v>
      </c>
      <c r="D46" s="4" t="s">
        <v>16</v>
      </c>
      <c r="E46" s="4" t="s">
        <v>16</v>
      </c>
      <c r="F46" s="4"/>
    </row>
    <row r="47" customFormat="false" ht="15" hidden="false" customHeight="false" outlineLevel="0" collapsed="false">
      <c r="A47" s="4" t="s">
        <v>335</v>
      </c>
      <c r="B47" s="4" t="s">
        <v>336</v>
      </c>
      <c r="C47" s="4" t="s">
        <v>299</v>
      </c>
      <c r="D47" s="4" t="s">
        <v>332</v>
      </c>
      <c r="E47" s="4" t="s">
        <v>212</v>
      </c>
      <c r="F47" s="4" t="s">
        <v>337</v>
      </c>
    </row>
    <row r="48" customFormat="false" ht="15" hidden="false" customHeight="false" outlineLevel="0" collapsed="false">
      <c r="A48" s="4" t="s">
        <v>335</v>
      </c>
      <c r="B48" s="4" t="s">
        <v>338</v>
      </c>
      <c r="C48" s="4" t="s">
        <v>299</v>
      </c>
      <c r="D48" s="4" t="s">
        <v>339</v>
      </c>
      <c r="E48" s="4" t="s">
        <v>221</v>
      </c>
      <c r="F48" s="4" t="s">
        <v>340</v>
      </c>
    </row>
    <row r="49" customFormat="false" ht="15" hidden="false" customHeight="false" outlineLevel="0" collapsed="false">
      <c r="A49" s="4" t="s">
        <v>335</v>
      </c>
      <c r="B49" s="4" t="s">
        <v>341</v>
      </c>
      <c r="C49" s="4" t="s">
        <v>283</v>
      </c>
      <c r="D49" s="4" t="s">
        <v>342</v>
      </c>
      <c r="E49" s="4" t="s">
        <v>212</v>
      </c>
      <c r="F49" s="4" t="s">
        <v>343</v>
      </c>
    </row>
    <row r="50" customFormat="false" ht="15" hidden="false" customHeight="false" outlineLevel="0" collapsed="false">
      <c r="A50" s="4" t="s">
        <v>335</v>
      </c>
      <c r="B50" s="4" t="s">
        <v>344</v>
      </c>
      <c r="C50" s="4" t="s">
        <v>252</v>
      </c>
      <c r="D50" s="4" t="s">
        <v>345</v>
      </c>
      <c r="E50" s="4" t="s">
        <v>212</v>
      </c>
      <c r="F50" s="4" t="s">
        <v>346</v>
      </c>
    </row>
    <row r="51" customFormat="false" ht="15" hidden="false" customHeight="false" outlineLevel="0" collapsed="false">
      <c r="A51" s="4" t="s">
        <v>335</v>
      </c>
      <c r="B51" s="4" t="s">
        <v>347</v>
      </c>
      <c r="C51" s="4" t="s">
        <v>219</v>
      </c>
      <c r="D51" s="4" t="s">
        <v>348</v>
      </c>
      <c r="E51" s="4" t="s">
        <v>212</v>
      </c>
      <c r="F51" s="4"/>
    </row>
    <row r="52" customFormat="false" ht="15" hidden="false" customHeight="false" outlineLevel="0" collapsed="false">
      <c r="A52" s="4" t="s">
        <v>335</v>
      </c>
      <c r="B52" s="4" t="s">
        <v>349</v>
      </c>
      <c r="C52" s="4" t="s">
        <v>219</v>
      </c>
      <c r="D52" s="4" t="s">
        <v>350</v>
      </c>
      <c r="E52" s="4" t="s">
        <v>221</v>
      </c>
      <c r="F52" s="4"/>
    </row>
    <row r="53" customFormat="false" ht="15" hidden="false" customHeight="false" outlineLevel="0" collapsed="false">
      <c r="A53" s="4" t="s">
        <v>335</v>
      </c>
      <c r="B53" s="4" t="s">
        <v>351</v>
      </c>
      <c r="C53" s="4" t="s">
        <v>319</v>
      </c>
      <c r="D53" s="4" t="s">
        <v>225</v>
      </c>
      <c r="E53" s="4" t="s">
        <v>16</v>
      </c>
      <c r="F53" s="4" t="s">
        <v>352</v>
      </c>
    </row>
    <row r="54" customFormat="false" ht="15" hidden="false" customHeight="false" outlineLevel="0" collapsed="false">
      <c r="A54" s="4" t="s">
        <v>335</v>
      </c>
      <c r="B54" s="4" t="s">
        <v>353</v>
      </c>
      <c r="C54" s="4" t="s">
        <v>274</v>
      </c>
      <c r="D54" s="4" t="s">
        <v>354</v>
      </c>
      <c r="E54" s="4" t="s">
        <v>221</v>
      </c>
      <c r="F54" s="4"/>
    </row>
    <row r="55" customFormat="false" ht="15" hidden="false" customHeight="false" outlineLevel="0" collapsed="false">
      <c r="A55" s="4" t="s">
        <v>335</v>
      </c>
      <c r="B55" s="4" t="s">
        <v>355</v>
      </c>
      <c r="C55" s="4" t="s">
        <v>249</v>
      </c>
      <c r="D55" s="4" t="s">
        <v>16</v>
      </c>
      <c r="E55" s="4" t="s">
        <v>16</v>
      </c>
      <c r="F55" s="4"/>
    </row>
    <row r="56" customFormat="false" ht="15" hidden="false" customHeight="false" outlineLevel="0" collapsed="false">
      <c r="A56" s="4" t="s">
        <v>356</v>
      </c>
      <c r="B56" s="4" t="s">
        <v>357</v>
      </c>
      <c r="C56" s="4" t="s">
        <v>224</v>
      </c>
      <c r="D56" s="4" t="s">
        <v>225</v>
      </c>
      <c r="E56" s="4" t="s">
        <v>16</v>
      </c>
      <c r="F56" s="4" t="s">
        <v>358</v>
      </c>
    </row>
    <row r="57" customFormat="false" ht="15" hidden="false" customHeight="false" outlineLevel="0" collapsed="false">
      <c r="A57" s="4" t="s">
        <v>356</v>
      </c>
      <c r="B57" s="4" t="s">
        <v>359</v>
      </c>
      <c r="C57" s="4" t="s">
        <v>228</v>
      </c>
      <c r="D57" s="4" t="s">
        <v>360</v>
      </c>
      <c r="E57" s="4" t="s">
        <v>16</v>
      </c>
      <c r="F57" s="4"/>
    </row>
    <row r="58" customFormat="false" ht="15" hidden="false" customHeight="false" outlineLevel="0" collapsed="false">
      <c r="A58" s="4" t="s">
        <v>356</v>
      </c>
      <c r="B58" s="4" t="s">
        <v>361</v>
      </c>
      <c r="C58" s="4" t="s">
        <v>252</v>
      </c>
      <c r="D58" s="4" t="s">
        <v>362</v>
      </c>
      <c r="E58" s="4" t="s">
        <v>221</v>
      </c>
      <c r="F58" s="4" t="s">
        <v>363</v>
      </c>
    </row>
    <row r="59" customFormat="false" ht="15" hidden="false" customHeight="false" outlineLevel="0" collapsed="false">
      <c r="A59" s="4" t="s">
        <v>356</v>
      </c>
      <c r="B59" s="4" t="s">
        <v>364</v>
      </c>
      <c r="C59" s="4" t="s">
        <v>228</v>
      </c>
      <c r="D59" s="4" t="s">
        <v>365</v>
      </c>
      <c r="E59" s="4" t="s">
        <v>16</v>
      </c>
      <c r="F59" s="4" t="s">
        <v>366</v>
      </c>
    </row>
    <row r="60" customFormat="false" ht="15" hidden="false" customHeight="false" outlineLevel="0" collapsed="false">
      <c r="A60" s="4" t="s">
        <v>356</v>
      </c>
      <c r="B60" s="4" t="s">
        <v>367</v>
      </c>
      <c r="C60" s="4" t="s">
        <v>283</v>
      </c>
      <c r="D60" s="4" t="s">
        <v>368</v>
      </c>
      <c r="E60" s="4" t="s">
        <v>212</v>
      </c>
      <c r="F60" s="4" t="s">
        <v>369</v>
      </c>
    </row>
    <row r="61" customFormat="false" ht="15" hidden="false" customHeight="false" outlineLevel="0" collapsed="false">
      <c r="A61" s="4" t="s">
        <v>356</v>
      </c>
      <c r="B61" s="4" t="s">
        <v>370</v>
      </c>
      <c r="C61" s="4" t="s">
        <v>249</v>
      </c>
      <c r="D61" s="4" t="s">
        <v>371</v>
      </c>
      <c r="E61" s="4" t="s">
        <v>16</v>
      </c>
      <c r="F61" s="4" t="s">
        <v>372</v>
      </c>
    </row>
    <row r="62" customFormat="false" ht="15" hidden="false" customHeight="false" outlineLevel="0" collapsed="false">
      <c r="A62" s="4" t="s">
        <v>373</v>
      </c>
      <c r="B62" s="4" t="s">
        <v>374</v>
      </c>
      <c r="C62" s="4" t="s">
        <v>375</v>
      </c>
      <c r="D62" s="4" t="s">
        <v>376</v>
      </c>
      <c r="E62" s="4" t="s">
        <v>16</v>
      </c>
      <c r="F62" s="4" t="s">
        <v>377</v>
      </c>
    </row>
    <row r="63" customFormat="false" ht="15" hidden="false" customHeight="false" outlineLevel="0" collapsed="false">
      <c r="A63" s="4" t="s">
        <v>373</v>
      </c>
      <c r="B63" s="4" t="s">
        <v>378</v>
      </c>
      <c r="C63" s="4" t="s">
        <v>319</v>
      </c>
      <c r="D63" s="4" t="s">
        <v>225</v>
      </c>
      <c r="E63" s="4" t="s">
        <v>16</v>
      </c>
      <c r="F63" s="4" t="s">
        <v>379</v>
      </c>
    </row>
    <row r="64" customFormat="false" ht="15" hidden="false" customHeight="false" outlineLevel="0" collapsed="false">
      <c r="A64" s="4" t="s">
        <v>373</v>
      </c>
      <c r="B64" s="4" t="s">
        <v>380</v>
      </c>
      <c r="C64" s="4" t="s">
        <v>249</v>
      </c>
      <c r="D64" s="4" t="s">
        <v>16</v>
      </c>
      <c r="E64" s="4" t="s">
        <v>16</v>
      </c>
      <c r="F6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8"/>
    <col collapsed="false" customWidth="true" hidden="false" outlineLevel="0" max="4" min="4" style="0" width="12"/>
    <col collapsed="false" customWidth="true" hidden="false" outlineLevel="0" max="5" min="5" style="0" width="16"/>
    <col collapsed="false" customWidth="true" hidden="false" outlineLevel="0" max="6" min="6" style="0" width="50"/>
  </cols>
  <sheetData>
    <row r="1" customFormat="false" ht="17.35" hidden="false" customHeight="false" outlineLevel="0" collapsed="false">
      <c r="A1" s="1" t="s">
        <v>381</v>
      </c>
    </row>
    <row r="2" customFormat="false" ht="15" hidden="false" customHeight="false" outlineLevel="0" collapsed="false">
      <c r="A2" s="2" t="s">
        <v>382</v>
      </c>
    </row>
    <row r="4" customFormat="false" ht="15" hidden="false" customHeight="false" outlineLevel="0" collapsed="false">
      <c r="A4" s="3" t="s">
        <v>383</v>
      </c>
      <c r="B4" s="3" t="s">
        <v>384</v>
      </c>
      <c r="C4" s="3" t="s">
        <v>385</v>
      </c>
      <c r="D4" s="3" t="s">
        <v>386</v>
      </c>
      <c r="E4" s="3" t="s">
        <v>387</v>
      </c>
      <c r="F4" s="3" t="s">
        <v>388</v>
      </c>
    </row>
    <row r="5" customFormat="false" ht="15" hidden="false" customHeight="false" outlineLevel="0" collapsed="false">
      <c r="A5" s="4" t="s">
        <v>306</v>
      </c>
      <c r="B5" s="4" t="s">
        <v>389</v>
      </c>
      <c r="C5" s="4" t="s">
        <v>390</v>
      </c>
      <c r="D5" s="4" t="s">
        <v>391</v>
      </c>
      <c r="E5" s="4" t="s">
        <v>221</v>
      </c>
      <c r="F5" s="4"/>
    </row>
    <row r="6" customFormat="false" ht="15" hidden="false" customHeight="false" outlineLevel="0" collapsed="false">
      <c r="A6" s="4" t="s">
        <v>306</v>
      </c>
      <c r="B6" s="4" t="s">
        <v>392</v>
      </c>
      <c r="C6" s="4" t="s">
        <v>393</v>
      </c>
      <c r="D6" s="4"/>
      <c r="E6" s="4" t="s">
        <v>221</v>
      </c>
      <c r="F6" s="4"/>
    </row>
    <row r="7" customFormat="false" ht="15" hidden="false" customHeight="false" outlineLevel="0" collapsed="false">
      <c r="A7" s="4" t="s">
        <v>306</v>
      </c>
      <c r="B7" s="4" t="s">
        <v>394</v>
      </c>
      <c r="C7" s="4" t="s">
        <v>236</v>
      </c>
      <c r="D7" s="4"/>
      <c r="E7" s="4" t="s">
        <v>212</v>
      </c>
      <c r="F7" s="4"/>
    </row>
    <row r="8" customFormat="false" ht="15" hidden="false" customHeight="false" outlineLevel="0" collapsed="false">
      <c r="A8" s="4" t="s">
        <v>395</v>
      </c>
      <c r="B8" s="4" t="s">
        <v>396</v>
      </c>
      <c r="C8" s="4" t="s">
        <v>390</v>
      </c>
      <c r="D8" s="4" t="s">
        <v>391</v>
      </c>
      <c r="E8" s="4" t="s">
        <v>221</v>
      </c>
      <c r="F8" s="4"/>
    </row>
    <row r="9" customFormat="false" ht="15" hidden="false" customHeight="false" outlineLevel="0" collapsed="false">
      <c r="A9" s="4" t="s">
        <v>395</v>
      </c>
      <c r="B9" s="4" t="s">
        <v>389</v>
      </c>
      <c r="C9" s="4" t="s">
        <v>390</v>
      </c>
      <c r="D9" s="4" t="s">
        <v>397</v>
      </c>
      <c r="E9" s="4" t="s">
        <v>221</v>
      </c>
      <c r="F9" s="4" t="s">
        <v>398</v>
      </c>
    </row>
    <row r="10" customFormat="false" ht="15" hidden="false" customHeight="false" outlineLevel="0" collapsed="false">
      <c r="A10" s="4" t="s">
        <v>395</v>
      </c>
      <c r="B10" s="4" t="s">
        <v>399</v>
      </c>
      <c r="C10" s="4" t="s">
        <v>393</v>
      </c>
      <c r="D10" s="4"/>
      <c r="E10" s="4" t="s">
        <v>221</v>
      </c>
      <c r="F10" s="4"/>
    </row>
    <row r="11" customFormat="false" ht="15" hidden="false" customHeight="false" outlineLevel="0" collapsed="false">
      <c r="A11" s="4" t="s">
        <v>395</v>
      </c>
      <c r="B11" s="4" t="s">
        <v>400</v>
      </c>
      <c r="C11" s="4" t="s">
        <v>393</v>
      </c>
      <c r="D11" s="4"/>
      <c r="E11" s="4" t="s">
        <v>212</v>
      </c>
      <c r="F11" s="4"/>
    </row>
    <row r="12" customFormat="false" ht="15" hidden="false" customHeight="false" outlineLevel="0" collapsed="false">
      <c r="A12" s="4" t="s">
        <v>395</v>
      </c>
      <c r="B12" s="4" t="s">
        <v>401</v>
      </c>
      <c r="C12" s="4" t="s">
        <v>402</v>
      </c>
      <c r="D12" s="4"/>
      <c r="E12" s="4" t="s">
        <v>212</v>
      </c>
      <c r="F12" s="4"/>
    </row>
    <row r="13" customFormat="false" ht="15" hidden="false" customHeight="false" outlineLevel="0" collapsed="false">
      <c r="A13" s="4" t="s">
        <v>403</v>
      </c>
      <c r="B13" s="4" t="s">
        <v>404</v>
      </c>
      <c r="C13" s="4" t="s">
        <v>390</v>
      </c>
      <c r="D13" s="4" t="s">
        <v>391</v>
      </c>
      <c r="E13" s="4" t="s">
        <v>221</v>
      </c>
      <c r="F13" s="4"/>
    </row>
    <row r="14" customFormat="false" ht="15" hidden="false" customHeight="false" outlineLevel="0" collapsed="false">
      <c r="A14" s="4" t="s">
        <v>403</v>
      </c>
      <c r="B14" s="4" t="s">
        <v>399</v>
      </c>
      <c r="C14" s="4" t="s">
        <v>393</v>
      </c>
      <c r="D14" s="4"/>
      <c r="E14" s="4" t="s">
        <v>221</v>
      </c>
      <c r="F14" s="4"/>
    </row>
    <row r="15" customFormat="false" ht="15" hidden="false" customHeight="false" outlineLevel="0" collapsed="false">
      <c r="A15" s="4" t="s">
        <v>403</v>
      </c>
      <c r="B15" s="4" t="s">
        <v>401</v>
      </c>
      <c r="C15" s="4" t="s">
        <v>402</v>
      </c>
      <c r="D15" s="4"/>
      <c r="E15" s="4" t="s">
        <v>212</v>
      </c>
      <c r="F15" s="4"/>
    </row>
    <row r="16" customFormat="false" ht="15" hidden="false" customHeight="false" outlineLevel="0" collapsed="false">
      <c r="A16" s="4" t="s">
        <v>405</v>
      </c>
      <c r="B16" s="4" t="s">
        <v>406</v>
      </c>
      <c r="C16" s="4" t="s">
        <v>390</v>
      </c>
      <c r="D16" s="4" t="s">
        <v>391</v>
      </c>
      <c r="E16" s="4" t="s">
        <v>221</v>
      </c>
      <c r="F16" s="4"/>
    </row>
    <row r="17" customFormat="false" ht="15" hidden="false" customHeight="false" outlineLevel="0" collapsed="false">
      <c r="A17" s="4" t="s">
        <v>405</v>
      </c>
      <c r="B17" s="4" t="s">
        <v>407</v>
      </c>
      <c r="C17" s="4" t="s">
        <v>393</v>
      </c>
      <c r="D17" s="4"/>
      <c r="E17" s="4" t="s">
        <v>221</v>
      </c>
      <c r="F17" s="4"/>
    </row>
    <row r="18" customFormat="false" ht="15" hidden="false" customHeight="false" outlineLevel="0" collapsed="false">
      <c r="A18" s="4" t="s">
        <v>405</v>
      </c>
      <c r="B18" s="4" t="s">
        <v>408</v>
      </c>
      <c r="C18" s="4" t="s">
        <v>409</v>
      </c>
      <c r="D18" s="4"/>
      <c r="E18" s="4" t="s">
        <v>221</v>
      </c>
      <c r="F18" s="4"/>
    </row>
    <row r="19" customFormat="false" ht="15" hidden="false" customHeight="false" outlineLevel="0" collapsed="false">
      <c r="A19" s="4" t="s">
        <v>405</v>
      </c>
      <c r="B19" s="4" t="s">
        <v>410</v>
      </c>
      <c r="C19" s="4" t="s">
        <v>236</v>
      </c>
      <c r="D19" s="4"/>
      <c r="E19" s="4" t="s">
        <v>212</v>
      </c>
      <c r="F19" s="4"/>
    </row>
    <row r="20" customFormat="false" ht="15" hidden="false" customHeight="false" outlineLevel="0" collapsed="false">
      <c r="A20" s="4" t="s">
        <v>405</v>
      </c>
      <c r="B20" s="4" t="s">
        <v>411</v>
      </c>
      <c r="C20" s="4" t="s">
        <v>236</v>
      </c>
      <c r="D20" s="4"/>
      <c r="E20" s="4" t="s">
        <v>212</v>
      </c>
      <c r="F20" s="4"/>
    </row>
    <row r="21" customFormat="false" ht="15" hidden="false" customHeight="false" outlineLevel="0" collapsed="false">
      <c r="A21" s="4" t="s">
        <v>412</v>
      </c>
      <c r="B21" s="4" t="s">
        <v>413</v>
      </c>
      <c r="C21" s="4" t="s">
        <v>390</v>
      </c>
      <c r="D21" s="4" t="s">
        <v>391</v>
      </c>
      <c r="E21" s="4" t="s">
        <v>221</v>
      </c>
      <c r="F21" s="4"/>
    </row>
    <row r="22" customFormat="false" ht="15" hidden="false" customHeight="false" outlineLevel="0" collapsed="false">
      <c r="A22" s="4" t="s">
        <v>412</v>
      </c>
      <c r="B22" s="4" t="s">
        <v>414</v>
      </c>
      <c r="C22" s="4" t="s">
        <v>393</v>
      </c>
      <c r="D22" s="4"/>
      <c r="E22" s="4" t="s">
        <v>221</v>
      </c>
      <c r="F22" s="4"/>
    </row>
    <row r="23" customFormat="false" ht="15" hidden="false" customHeight="false" outlineLevel="0" collapsed="false">
      <c r="A23" s="4" t="s">
        <v>412</v>
      </c>
      <c r="B23" s="4" t="s">
        <v>394</v>
      </c>
      <c r="C23" s="4" t="s">
        <v>236</v>
      </c>
      <c r="D23" s="4"/>
      <c r="E23" s="4" t="s">
        <v>212</v>
      </c>
      <c r="F23" s="4"/>
    </row>
    <row r="24" customFormat="false" ht="15" hidden="false" customHeight="false" outlineLevel="0" collapsed="false">
      <c r="A24" s="4" t="s">
        <v>412</v>
      </c>
      <c r="B24" s="4" t="s">
        <v>415</v>
      </c>
      <c r="C24" s="4" t="s">
        <v>416</v>
      </c>
      <c r="D24" s="4"/>
      <c r="E24" s="4" t="s">
        <v>221</v>
      </c>
      <c r="F24" s="4" t="s">
        <v>417</v>
      </c>
    </row>
    <row r="25" customFormat="false" ht="15" hidden="false" customHeight="false" outlineLevel="0" collapsed="false">
      <c r="A25" s="4" t="s">
        <v>21</v>
      </c>
      <c r="B25" s="4" t="s">
        <v>418</v>
      </c>
      <c r="C25" s="4" t="s">
        <v>390</v>
      </c>
      <c r="D25" s="4" t="s">
        <v>391</v>
      </c>
      <c r="E25" s="4" t="s">
        <v>221</v>
      </c>
      <c r="F25" s="4"/>
    </row>
    <row r="26" customFormat="false" ht="15" hidden="false" customHeight="false" outlineLevel="0" collapsed="false">
      <c r="A26" s="4" t="s">
        <v>21</v>
      </c>
      <c r="B26" s="4" t="s">
        <v>399</v>
      </c>
      <c r="C26" s="4" t="s">
        <v>393</v>
      </c>
      <c r="D26" s="4"/>
      <c r="E26" s="4" t="s">
        <v>221</v>
      </c>
      <c r="F26" s="4"/>
    </row>
    <row r="27" customFormat="false" ht="15" hidden="false" customHeight="false" outlineLevel="0" collapsed="false">
      <c r="A27" s="4" t="s">
        <v>21</v>
      </c>
      <c r="B27" s="4" t="s">
        <v>419</v>
      </c>
      <c r="C27" s="4" t="s">
        <v>236</v>
      </c>
      <c r="D27" s="4"/>
      <c r="E27" s="4" t="s">
        <v>212</v>
      </c>
      <c r="F27" s="4"/>
    </row>
    <row r="28" customFormat="false" ht="15" hidden="false" customHeight="false" outlineLevel="0" collapsed="false">
      <c r="A28" s="4" t="s">
        <v>21</v>
      </c>
      <c r="B28" s="4" t="s">
        <v>420</v>
      </c>
      <c r="C28" s="4" t="s">
        <v>421</v>
      </c>
      <c r="D28" s="4"/>
      <c r="E28" s="4" t="s">
        <v>212</v>
      </c>
      <c r="F28" s="4"/>
    </row>
    <row r="29" customFormat="false" ht="15" hidden="false" customHeight="false" outlineLevel="0" collapsed="false">
      <c r="A29" s="4" t="s">
        <v>21</v>
      </c>
      <c r="B29" s="4" t="s">
        <v>401</v>
      </c>
      <c r="C29" s="4" t="s">
        <v>402</v>
      </c>
      <c r="D29" s="4"/>
      <c r="E29" s="4" t="s">
        <v>212</v>
      </c>
      <c r="F29" s="4"/>
    </row>
    <row r="30" customFormat="false" ht="15" hidden="false" customHeight="false" outlineLevel="0" collapsed="false">
      <c r="A30" s="4" t="s">
        <v>21</v>
      </c>
      <c r="B30" s="4" t="s">
        <v>422</v>
      </c>
      <c r="C30" s="4" t="s">
        <v>423</v>
      </c>
      <c r="D30" s="4"/>
      <c r="E30" s="4" t="s">
        <v>212</v>
      </c>
      <c r="F30" s="4"/>
    </row>
    <row r="31" customFormat="false" ht="15" hidden="false" customHeight="false" outlineLevel="0" collapsed="false">
      <c r="A31" s="4" t="s">
        <v>29</v>
      </c>
      <c r="B31" s="4" t="s">
        <v>424</v>
      </c>
      <c r="C31" s="4" t="s">
        <v>390</v>
      </c>
      <c r="D31" s="4" t="s">
        <v>391</v>
      </c>
      <c r="E31" s="4" t="s">
        <v>221</v>
      </c>
      <c r="F31" s="4"/>
    </row>
    <row r="32" customFormat="false" ht="15" hidden="false" customHeight="false" outlineLevel="0" collapsed="false">
      <c r="A32" s="4" t="s">
        <v>29</v>
      </c>
      <c r="B32" s="4" t="s">
        <v>418</v>
      </c>
      <c r="C32" s="4" t="s">
        <v>390</v>
      </c>
      <c r="D32" s="4" t="s">
        <v>397</v>
      </c>
      <c r="E32" s="4" t="s">
        <v>221</v>
      </c>
      <c r="F32" s="4" t="s">
        <v>425</v>
      </c>
    </row>
    <row r="33" customFormat="false" ht="15" hidden="false" customHeight="false" outlineLevel="0" collapsed="false">
      <c r="A33" s="4" t="s">
        <v>29</v>
      </c>
      <c r="B33" s="4" t="s">
        <v>426</v>
      </c>
      <c r="C33" s="4" t="s">
        <v>421</v>
      </c>
      <c r="D33" s="4"/>
      <c r="E33" s="4" t="s">
        <v>221</v>
      </c>
      <c r="F33" s="4" t="s">
        <v>427</v>
      </c>
    </row>
    <row r="34" customFormat="false" ht="15" hidden="false" customHeight="false" outlineLevel="0" collapsed="false">
      <c r="A34" s="4" t="s">
        <v>29</v>
      </c>
      <c r="B34" s="4" t="s">
        <v>428</v>
      </c>
      <c r="C34" s="4" t="s">
        <v>429</v>
      </c>
      <c r="D34" s="4"/>
      <c r="E34" s="4" t="s">
        <v>221</v>
      </c>
      <c r="F34" s="4"/>
    </row>
    <row r="35" customFormat="false" ht="15" hidden="false" customHeight="false" outlineLevel="0" collapsed="false">
      <c r="A35" s="4" t="s">
        <v>29</v>
      </c>
      <c r="B35" s="4" t="s">
        <v>430</v>
      </c>
      <c r="C35" s="4" t="s">
        <v>416</v>
      </c>
      <c r="D35" s="4"/>
      <c r="E35" s="4" t="s">
        <v>221</v>
      </c>
      <c r="F35" s="4" t="s">
        <v>431</v>
      </c>
    </row>
    <row r="36" customFormat="false" ht="15" hidden="false" customHeight="false" outlineLevel="0" collapsed="false">
      <c r="A36" s="4" t="s">
        <v>29</v>
      </c>
      <c r="B36" s="4" t="s">
        <v>432</v>
      </c>
      <c r="C36" s="4" t="s">
        <v>433</v>
      </c>
      <c r="D36" s="4"/>
      <c r="E36" s="4" t="s">
        <v>221</v>
      </c>
      <c r="F36" s="4" t="s">
        <v>427</v>
      </c>
    </row>
    <row r="37" customFormat="false" ht="15" hidden="false" customHeight="false" outlineLevel="0" collapsed="false">
      <c r="A37" s="4" t="s">
        <v>39</v>
      </c>
      <c r="B37" s="4" t="s">
        <v>434</v>
      </c>
      <c r="C37" s="4" t="s">
        <v>390</v>
      </c>
      <c r="D37" s="4" t="s">
        <v>391</v>
      </c>
      <c r="E37" s="4" t="s">
        <v>221</v>
      </c>
      <c r="F37" s="4"/>
    </row>
    <row r="38" customFormat="false" ht="15" hidden="false" customHeight="false" outlineLevel="0" collapsed="false">
      <c r="A38" s="4" t="s">
        <v>39</v>
      </c>
      <c r="B38" s="4" t="s">
        <v>418</v>
      </c>
      <c r="C38" s="4" t="s">
        <v>390</v>
      </c>
      <c r="D38" s="4" t="s">
        <v>397</v>
      </c>
      <c r="E38" s="4" t="s">
        <v>221</v>
      </c>
      <c r="F38" s="4" t="s">
        <v>435</v>
      </c>
    </row>
    <row r="39" customFormat="false" ht="15" hidden="false" customHeight="false" outlineLevel="0" collapsed="false">
      <c r="A39" s="4" t="s">
        <v>39</v>
      </c>
      <c r="B39" s="4" t="s">
        <v>424</v>
      </c>
      <c r="C39" s="4" t="s">
        <v>390</v>
      </c>
      <c r="D39" s="4" t="s">
        <v>397</v>
      </c>
      <c r="E39" s="4" t="s">
        <v>221</v>
      </c>
      <c r="F39" s="4" t="s">
        <v>436</v>
      </c>
    </row>
    <row r="40" customFormat="false" ht="15" hidden="false" customHeight="false" outlineLevel="0" collapsed="false">
      <c r="A40" s="4" t="s">
        <v>39</v>
      </c>
      <c r="B40" s="4" t="s">
        <v>437</v>
      </c>
      <c r="C40" s="4" t="s">
        <v>421</v>
      </c>
      <c r="D40" s="4"/>
      <c r="E40" s="4" t="s">
        <v>221</v>
      </c>
      <c r="F40" s="4"/>
    </row>
    <row r="41" customFormat="false" ht="15" hidden="false" customHeight="false" outlineLevel="0" collapsed="false">
      <c r="A41" s="4" t="s">
        <v>39</v>
      </c>
      <c r="B41" s="4" t="s">
        <v>438</v>
      </c>
      <c r="C41" s="4" t="s">
        <v>421</v>
      </c>
      <c r="D41" s="4"/>
      <c r="E41" s="4" t="s">
        <v>221</v>
      </c>
      <c r="F41" s="4"/>
    </row>
    <row r="42" customFormat="false" ht="15" hidden="false" customHeight="false" outlineLevel="0" collapsed="false">
      <c r="A42" s="4" t="s">
        <v>39</v>
      </c>
      <c r="B42" s="4" t="s">
        <v>439</v>
      </c>
      <c r="C42" s="4" t="s">
        <v>409</v>
      </c>
      <c r="D42" s="4"/>
      <c r="E42" s="4" t="s">
        <v>221</v>
      </c>
      <c r="F42" s="4" t="s">
        <v>427</v>
      </c>
    </row>
    <row r="43" customFormat="false" ht="15" hidden="false" customHeight="false" outlineLevel="0" collapsed="false">
      <c r="A43" s="4" t="s">
        <v>54</v>
      </c>
      <c r="B43" s="4" t="s">
        <v>440</v>
      </c>
      <c r="C43" s="4" t="s">
        <v>390</v>
      </c>
      <c r="D43" s="4" t="s">
        <v>391</v>
      </c>
      <c r="E43" s="4" t="s">
        <v>221</v>
      </c>
      <c r="F43" s="4"/>
    </row>
    <row r="44" customFormat="false" ht="15" hidden="false" customHeight="false" outlineLevel="0" collapsed="false">
      <c r="A44" s="4" t="s">
        <v>54</v>
      </c>
      <c r="B44" s="4" t="s">
        <v>418</v>
      </c>
      <c r="C44" s="4" t="s">
        <v>390</v>
      </c>
      <c r="D44" s="4" t="s">
        <v>397</v>
      </c>
      <c r="E44" s="4" t="s">
        <v>221</v>
      </c>
      <c r="F44" s="4" t="s">
        <v>425</v>
      </c>
    </row>
    <row r="45" customFormat="false" ht="15" hidden="false" customHeight="false" outlineLevel="0" collapsed="false">
      <c r="A45" s="4" t="s">
        <v>54</v>
      </c>
      <c r="B45" s="4" t="s">
        <v>404</v>
      </c>
      <c r="C45" s="4" t="s">
        <v>390</v>
      </c>
      <c r="D45" s="4" t="s">
        <v>397</v>
      </c>
      <c r="E45" s="4" t="s">
        <v>221</v>
      </c>
      <c r="F45" s="4" t="s">
        <v>441</v>
      </c>
    </row>
    <row r="46" customFormat="false" ht="15" hidden="false" customHeight="false" outlineLevel="0" collapsed="false">
      <c r="A46" s="4" t="s">
        <v>54</v>
      </c>
      <c r="B46" s="4" t="s">
        <v>442</v>
      </c>
      <c r="C46" s="4" t="s">
        <v>443</v>
      </c>
      <c r="D46" s="4"/>
      <c r="E46" s="4" t="s">
        <v>221</v>
      </c>
      <c r="F46" s="4"/>
    </row>
    <row r="47" customFormat="false" ht="15" hidden="false" customHeight="false" outlineLevel="0" collapsed="false">
      <c r="A47" s="4" t="s">
        <v>54</v>
      </c>
      <c r="B47" s="4" t="s">
        <v>444</v>
      </c>
      <c r="C47" s="4" t="s">
        <v>445</v>
      </c>
      <c r="D47" s="4"/>
      <c r="E47" s="4" t="s">
        <v>221</v>
      </c>
      <c r="F47" s="4" t="s">
        <v>427</v>
      </c>
    </row>
    <row r="48" customFormat="false" ht="15" hidden="false" customHeight="false" outlineLevel="0" collapsed="false">
      <c r="A48" s="4" t="s">
        <v>54</v>
      </c>
      <c r="B48" s="4" t="s">
        <v>439</v>
      </c>
      <c r="C48" s="4" t="s">
        <v>409</v>
      </c>
      <c r="D48" s="4"/>
      <c r="E48" s="4" t="s">
        <v>221</v>
      </c>
      <c r="F48" s="4" t="s">
        <v>427</v>
      </c>
    </row>
    <row r="49" customFormat="false" ht="15" hidden="false" customHeight="false" outlineLevel="0" collapsed="false">
      <c r="A49" s="4" t="s">
        <v>68</v>
      </c>
      <c r="B49" s="4" t="s">
        <v>446</v>
      </c>
      <c r="C49" s="4" t="s">
        <v>390</v>
      </c>
      <c r="D49" s="4" t="s">
        <v>391</v>
      </c>
      <c r="E49" s="4" t="s">
        <v>221</v>
      </c>
      <c r="F49" s="4"/>
    </row>
    <row r="50" customFormat="false" ht="15" hidden="false" customHeight="false" outlineLevel="0" collapsed="false">
      <c r="A50" s="4" t="s">
        <v>68</v>
      </c>
      <c r="B50" s="4" t="s">
        <v>434</v>
      </c>
      <c r="C50" s="4" t="s">
        <v>390</v>
      </c>
      <c r="D50" s="4" t="s">
        <v>397</v>
      </c>
      <c r="E50" s="4" t="s">
        <v>221</v>
      </c>
      <c r="F50" s="4" t="s">
        <v>447</v>
      </c>
    </row>
    <row r="51" customFormat="false" ht="15" hidden="false" customHeight="false" outlineLevel="0" collapsed="false">
      <c r="A51" s="4" t="s">
        <v>68</v>
      </c>
      <c r="B51" s="4" t="s">
        <v>396</v>
      </c>
      <c r="C51" s="4" t="s">
        <v>390</v>
      </c>
      <c r="D51" s="4" t="s">
        <v>397</v>
      </c>
      <c r="E51" s="4" t="s">
        <v>221</v>
      </c>
      <c r="F51" s="4" t="s">
        <v>448</v>
      </c>
    </row>
    <row r="52" customFormat="false" ht="15" hidden="false" customHeight="false" outlineLevel="0" collapsed="false">
      <c r="A52" s="4" t="s">
        <v>68</v>
      </c>
      <c r="B52" s="4" t="s">
        <v>389</v>
      </c>
      <c r="C52" s="4" t="s">
        <v>390</v>
      </c>
      <c r="D52" s="4" t="s">
        <v>397</v>
      </c>
      <c r="E52" s="4" t="s">
        <v>221</v>
      </c>
      <c r="F52" s="4" t="s">
        <v>398</v>
      </c>
    </row>
    <row r="53" customFormat="false" ht="15" hidden="false" customHeight="false" outlineLevel="0" collapsed="false">
      <c r="A53" s="4" t="s">
        <v>68</v>
      </c>
      <c r="B53" s="4" t="s">
        <v>404</v>
      </c>
      <c r="C53" s="4" t="s">
        <v>390</v>
      </c>
      <c r="D53" s="4" t="s">
        <v>397</v>
      </c>
      <c r="E53" s="4" t="s">
        <v>221</v>
      </c>
      <c r="F53" s="4" t="s">
        <v>441</v>
      </c>
    </row>
    <row r="54" customFormat="false" ht="15" hidden="false" customHeight="false" outlineLevel="0" collapsed="false">
      <c r="A54" s="4" t="s">
        <v>68</v>
      </c>
      <c r="B54" s="4" t="s">
        <v>440</v>
      </c>
      <c r="C54" s="4" t="s">
        <v>390</v>
      </c>
      <c r="D54" s="4" t="s">
        <v>397</v>
      </c>
      <c r="E54" s="4" t="s">
        <v>212</v>
      </c>
      <c r="F54" s="4" t="s">
        <v>449</v>
      </c>
    </row>
    <row r="55" customFormat="false" ht="15" hidden="false" customHeight="false" outlineLevel="0" collapsed="false">
      <c r="A55" s="4" t="s">
        <v>68</v>
      </c>
      <c r="B55" s="4" t="s">
        <v>450</v>
      </c>
      <c r="C55" s="4" t="s">
        <v>443</v>
      </c>
      <c r="D55" s="4"/>
      <c r="E55" s="4" t="s">
        <v>221</v>
      </c>
      <c r="F55" s="4"/>
    </row>
    <row r="56" customFormat="false" ht="15" hidden="false" customHeight="false" outlineLevel="0" collapsed="false">
      <c r="A56" s="4" t="s">
        <v>68</v>
      </c>
      <c r="B56" s="4" t="s">
        <v>451</v>
      </c>
      <c r="C56" s="4" t="s">
        <v>445</v>
      </c>
      <c r="D56" s="4"/>
      <c r="E56" s="4" t="s">
        <v>221</v>
      </c>
      <c r="F56" s="4" t="s">
        <v>427</v>
      </c>
    </row>
    <row r="57" customFormat="false" ht="15" hidden="false" customHeight="false" outlineLevel="0" collapsed="false">
      <c r="A57" s="4" t="s">
        <v>68</v>
      </c>
      <c r="B57" s="4" t="s">
        <v>452</v>
      </c>
      <c r="C57" s="4" t="s">
        <v>453</v>
      </c>
      <c r="D57" s="4"/>
      <c r="E57" s="4" t="s">
        <v>212</v>
      </c>
      <c r="F57" s="4"/>
    </row>
    <row r="58" customFormat="false" ht="15" hidden="false" customHeight="false" outlineLevel="0" collapsed="false">
      <c r="A58" s="4" t="s">
        <v>68</v>
      </c>
      <c r="B58" s="4" t="s">
        <v>454</v>
      </c>
      <c r="C58" s="4" t="s">
        <v>453</v>
      </c>
      <c r="D58" s="4"/>
      <c r="E58" s="4" t="s">
        <v>212</v>
      </c>
      <c r="F58" s="4"/>
    </row>
    <row r="59" customFormat="false" ht="15" hidden="false" customHeight="false" outlineLevel="0" collapsed="false">
      <c r="A59" s="4" t="s">
        <v>455</v>
      </c>
      <c r="B59" s="4" t="s">
        <v>456</v>
      </c>
      <c r="C59" s="4" t="s">
        <v>390</v>
      </c>
      <c r="D59" s="4" t="s">
        <v>391</v>
      </c>
      <c r="E59" s="4" t="s">
        <v>221</v>
      </c>
      <c r="F59" s="4"/>
    </row>
    <row r="60" customFormat="false" ht="15" hidden="false" customHeight="false" outlineLevel="0" collapsed="false">
      <c r="A60" s="4" t="s">
        <v>455</v>
      </c>
      <c r="B60" s="4" t="s">
        <v>446</v>
      </c>
      <c r="C60" s="4" t="s">
        <v>390</v>
      </c>
      <c r="D60" s="4" t="s">
        <v>397</v>
      </c>
      <c r="E60" s="4" t="s">
        <v>221</v>
      </c>
      <c r="F60" s="4" t="s">
        <v>457</v>
      </c>
    </row>
    <row r="61" customFormat="false" ht="15" hidden="false" customHeight="false" outlineLevel="0" collapsed="false">
      <c r="A61" s="4" t="s">
        <v>455</v>
      </c>
      <c r="B61" s="4" t="s">
        <v>458</v>
      </c>
      <c r="C61" s="4" t="s">
        <v>393</v>
      </c>
      <c r="D61" s="4"/>
      <c r="E61" s="4" t="s">
        <v>221</v>
      </c>
      <c r="F61" s="4"/>
    </row>
    <row r="62" customFormat="false" ht="15" hidden="false" customHeight="false" outlineLevel="0" collapsed="false">
      <c r="A62" s="4" t="s">
        <v>455</v>
      </c>
      <c r="B62" s="4" t="s">
        <v>459</v>
      </c>
      <c r="C62" s="4" t="s">
        <v>393</v>
      </c>
      <c r="D62" s="4"/>
      <c r="E62" s="4" t="s">
        <v>212</v>
      </c>
      <c r="F62" s="4"/>
    </row>
    <row r="63" customFormat="false" ht="15" hidden="false" customHeight="false" outlineLevel="0" collapsed="false">
      <c r="A63" s="4" t="s">
        <v>455</v>
      </c>
      <c r="B63" s="4" t="s">
        <v>460</v>
      </c>
      <c r="C63" s="4" t="s">
        <v>461</v>
      </c>
      <c r="D63" s="4"/>
      <c r="E63" s="4" t="s">
        <v>212</v>
      </c>
      <c r="F63" s="4"/>
    </row>
    <row r="64" customFormat="false" ht="15" hidden="false" customHeight="false" outlineLevel="0" collapsed="false">
      <c r="A64" s="4" t="s">
        <v>82</v>
      </c>
      <c r="B64" s="4" t="s">
        <v>446</v>
      </c>
      <c r="C64" s="4" t="s">
        <v>390</v>
      </c>
      <c r="D64" s="4" t="s">
        <v>462</v>
      </c>
      <c r="E64" s="4" t="s">
        <v>221</v>
      </c>
      <c r="F64" s="4" t="s">
        <v>457</v>
      </c>
    </row>
    <row r="65" customFormat="false" ht="15" hidden="false" customHeight="false" outlineLevel="0" collapsed="false">
      <c r="A65" s="4" t="s">
        <v>82</v>
      </c>
      <c r="B65" s="4" t="s">
        <v>413</v>
      </c>
      <c r="C65" s="4" t="s">
        <v>390</v>
      </c>
      <c r="D65" s="4" t="s">
        <v>462</v>
      </c>
      <c r="E65" s="4" t="s">
        <v>221</v>
      </c>
      <c r="F65" s="4" t="s">
        <v>463</v>
      </c>
    </row>
    <row r="66" customFormat="false" ht="15" hidden="false" customHeight="false" outlineLevel="0" collapsed="false">
      <c r="A66" s="4" t="s">
        <v>82</v>
      </c>
      <c r="B66" s="4" t="s">
        <v>464</v>
      </c>
      <c r="C66" s="4" t="s">
        <v>443</v>
      </c>
      <c r="D66" s="4"/>
      <c r="E66" s="4" t="s">
        <v>212</v>
      </c>
      <c r="F66" s="4"/>
    </row>
    <row r="67" customFormat="false" ht="15" hidden="false" customHeight="false" outlineLevel="0" collapsed="false">
      <c r="A67" s="4" t="s">
        <v>82</v>
      </c>
      <c r="B67" s="4" t="s">
        <v>465</v>
      </c>
      <c r="C67" s="4" t="s">
        <v>453</v>
      </c>
      <c r="D67" s="4"/>
      <c r="E67" s="4" t="s">
        <v>212</v>
      </c>
      <c r="F67" s="4"/>
    </row>
    <row r="68" customFormat="false" ht="15" hidden="false" customHeight="false" outlineLevel="0" collapsed="false">
      <c r="A68" s="4" t="s">
        <v>82</v>
      </c>
      <c r="B68" s="4" t="s">
        <v>466</v>
      </c>
      <c r="C68" s="4" t="s">
        <v>236</v>
      </c>
      <c r="D68" s="4"/>
      <c r="E68" s="4" t="s">
        <v>212</v>
      </c>
      <c r="F68" s="4"/>
    </row>
    <row r="69" customFormat="false" ht="15" hidden="false" customHeight="false" outlineLevel="0" collapsed="false">
      <c r="A69" s="4" t="s">
        <v>467</v>
      </c>
      <c r="B69" s="4" t="s">
        <v>468</v>
      </c>
      <c r="C69" s="4" t="s">
        <v>390</v>
      </c>
      <c r="D69" s="4" t="s">
        <v>391</v>
      </c>
      <c r="E69" s="4" t="s">
        <v>221</v>
      </c>
      <c r="F69" s="4"/>
    </row>
    <row r="70" customFormat="false" ht="23.85" hidden="false" customHeight="false" outlineLevel="0" collapsed="false">
      <c r="A70" s="4" t="s">
        <v>467</v>
      </c>
      <c r="B70" s="4" t="s">
        <v>446</v>
      </c>
      <c r="C70" s="4" t="s">
        <v>390</v>
      </c>
      <c r="D70" s="4" t="s">
        <v>397</v>
      </c>
      <c r="E70" s="4" t="s">
        <v>221</v>
      </c>
      <c r="F70" s="4" t="s">
        <v>469</v>
      </c>
    </row>
    <row r="71" customFormat="false" ht="15" hidden="false" customHeight="false" outlineLevel="0" collapsed="false">
      <c r="A71" s="4" t="s">
        <v>467</v>
      </c>
      <c r="B71" s="4" t="s">
        <v>470</v>
      </c>
      <c r="C71" s="4" t="s">
        <v>421</v>
      </c>
      <c r="D71" s="4"/>
      <c r="E71" s="4" t="s">
        <v>221</v>
      </c>
      <c r="F71" s="4" t="s">
        <v>427</v>
      </c>
    </row>
    <row r="72" customFormat="false" ht="15" hidden="false" customHeight="false" outlineLevel="0" collapsed="false">
      <c r="A72" s="4" t="s">
        <v>467</v>
      </c>
      <c r="B72" s="4" t="s">
        <v>471</v>
      </c>
      <c r="C72" s="4" t="s">
        <v>453</v>
      </c>
      <c r="D72" s="4"/>
      <c r="E72" s="4" t="s">
        <v>212</v>
      </c>
      <c r="F72" s="4"/>
    </row>
    <row r="73" customFormat="false" ht="15" hidden="false" customHeight="false" outlineLevel="0" collapsed="false">
      <c r="A73" s="4" t="s">
        <v>472</v>
      </c>
      <c r="B73" s="4" t="s">
        <v>468</v>
      </c>
      <c r="C73" s="4" t="s">
        <v>390</v>
      </c>
      <c r="D73" s="4" t="s">
        <v>462</v>
      </c>
      <c r="E73" s="4" t="s">
        <v>221</v>
      </c>
      <c r="F73" s="4" t="s">
        <v>473</v>
      </c>
    </row>
    <row r="74" customFormat="false" ht="15" hidden="false" customHeight="false" outlineLevel="0" collapsed="false">
      <c r="A74" s="4" t="s">
        <v>472</v>
      </c>
      <c r="B74" s="4" t="s">
        <v>406</v>
      </c>
      <c r="C74" s="4" t="s">
        <v>390</v>
      </c>
      <c r="D74" s="4" t="s">
        <v>462</v>
      </c>
      <c r="E74" s="4" t="s">
        <v>221</v>
      </c>
      <c r="F74" s="4" t="s">
        <v>474</v>
      </c>
    </row>
    <row r="75" customFormat="false" ht="15" hidden="false" customHeight="false" outlineLevel="0" collapsed="false">
      <c r="A75" s="4" t="s">
        <v>472</v>
      </c>
      <c r="B75" s="4" t="s">
        <v>475</v>
      </c>
      <c r="C75" s="4" t="s">
        <v>429</v>
      </c>
      <c r="D75" s="4"/>
      <c r="E75" s="4" t="s">
        <v>221</v>
      </c>
      <c r="F75" s="4" t="s">
        <v>431</v>
      </c>
    </row>
    <row r="76" customFormat="false" ht="15" hidden="false" customHeight="false" outlineLevel="0" collapsed="false">
      <c r="A76" s="4" t="s">
        <v>472</v>
      </c>
      <c r="B76" s="4" t="s">
        <v>476</v>
      </c>
      <c r="C76" s="4" t="s">
        <v>393</v>
      </c>
      <c r="D76" s="4"/>
      <c r="E76" s="4" t="s">
        <v>221</v>
      </c>
      <c r="F76" s="4"/>
    </row>
    <row r="77" customFormat="false" ht="15" hidden="false" customHeight="false" outlineLevel="0" collapsed="false">
      <c r="A77" s="4" t="s">
        <v>472</v>
      </c>
      <c r="B77" s="4" t="s">
        <v>477</v>
      </c>
      <c r="C77" s="4" t="s">
        <v>236</v>
      </c>
      <c r="D77" s="4"/>
      <c r="E77" s="4" t="s">
        <v>212</v>
      </c>
      <c r="F77" s="4"/>
    </row>
    <row r="78" customFormat="false" ht="15" hidden="false" customHeight="false" outlineLevel="0" collapsed="false">
      <c r="A78" s="4" t="s">
        <v>97</v>
      </c>
      <c r="B78" s="4" t="s">
        <v>478</v>
      </c>
      <c r="C78" s="4" t="s">
        <v>390</v>
      </c>
      <c r="D78" s="4" t="s">
        <v>391</v>
      </c>
      <c r="E78" s="4" t="s">
        <v>221</v>
      </c>
      <c r="F78" s="4"/>
    </row>
    <row r="79" customFormat="false" ht="23.85" hidden="false" customHeight="false" outlineLevel="0" collapsed="false">
      <c r="A79" s="4" t="s">
        <v>97</v>
      </c>
      <c r="B79" s="4" t="s">
        <v>446</v>
      </c>
      <c r="C79" s="4" t="s">
        <v>390</v>
      </c>
      <c r="D79" s="4" t="s">
        <v>397</v>
      </c>
      <c r="E79" s="4" t="s">
        <v>221</v>
      </c>
      <c r="F79" s="4" t="s">
        <v>469</v>
      </c>
    </row>
    <row r="80" customFormat="false" ht="15" hidden="false" customHeight="false" outlineLevel="0" collapsed="false">
      <c r="A80" s="4" t="s">
        <v>97</v>
      </c>
      <c r="B80" s="4" t="s">
        <v>479</v>
      </c>
      <c r="C80" s="4" t="s">
        <v>421</v>
      </c>
      <c r="D80" s="4"/>
      <c r="E80" s="4" t="s">
        <v>221</v>
      </c>
      <c r="F80" s="4" t="s">
        <v>427</v>
      </c>
    </row>
    <row r="81" customFormat="false" ht="15" hidden="false" customHeight="false" outlineLevel="0" collapsed="false">
      <c r="A81" s="4" t="s">
        <v>97</v>
      </c>
      <c r="B81" s="4" t="s">
        <v>480</v>
      </c>
      <c r="C81" s="4" t="s">
        <v>416</v>
      </c>
      <c r="D81" s="4"/>
      <c r="E81" s="4" t="s">
        <v>221</v>
      </c>
      <c r="F81" s="4" t="s">
        <v>431</v>
      </c>
    </row>
    <row r="82" customFormat="false" ht="15" hidden="false" customHeight="false" outlineLevel="0" collapsed="false">
      <c r="A82" s="4" t="s">
        <v>97</v>
      </c>
      <c r="B82" s="4" t="s">
        <v>481</v>
      </c>
      <c r="C82" s="4" t="s">
        <v>409</v>
      </c>
      <c r="D82" s="4"/>
      <c r="E82" s="4" t="s">
        <v>221</v>
      </c>
      <c r="F82" s="4"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34"/>
    <col collapsed="false" customWidth="true" hidden="false" outlineLevel="0" max="4" min="4" style="0" width="42"/>
    <col collapsed="false" customWidth="true" hidden="false" outlineLevel="0" max="5" min="5" style="0" width="48"/>
    <col collapsed="false" customWidth="true" hidden="false" outlineLevel="0" max="6" min="6" style="0" width="34"/>
    <col collapsed="false" customWidth="true" hidden="false" outlineLevel="0" max="7" min="7" style="0" width="12"/>
    <col collapsed="false" customWidth="true" hidden="false" outlineLevel="0" max="8" min="8" style="0" width="14"/>
  </cols>
  <sheetData>
    <row r="1" customFormat="false" ht="17.35" hidden="false" customHeight="false" outlineLevel="0" collapsed="false">
      <c r="A1" s="1" t="s">
        <v>482</v>
      </c>
    </row>
    <row r="2" customFormat="false" ht="15" hidden="false" customHeight="false" outlineLevel="0" collapsed="false">
      <c r="A2" s="2" t="s">
        <v>483</v>
      </c>
    </row>
    <row r="3" customFormat="false" ht="15" hidden="false" customHeight="false" outlineLevel="0" collapsed="false">
      <c r="A3" s="7" t="s">
        <v>484</v>
      </c>
      <c r="D3" s="2" t="s">
        <v>485</v>
      </c>
    </row>
    <row r="4" customFormat="false" ht="15" hidden="false" customHeight="false" outlineLevel="0" collapsed="false">
      <c r="A4" s="8" t="s">
        <v>486</v>
      </c>
      <c r="B4" s="9" t="n">
        <f aca="false">COUNTIF(H12:H44,"Pass")</f>
        <v>0</v>
      </c>
    </row>
    <row r="5" customFormat="false" ht="15" hidden="false" customHeight="false" outlineLevel="0" collapsed="false">
      <c r="A5" s="8" t="s">
        <v>487</v>
      </c>
      <c r="B5" s="9" t="n">
        <f aca="false">COUNTIF(H12:H44,"Fail")</f>
        <v>0</v>
      </c>
    </row>
    <row r="6" customFormat="false" ht="15" hidden="false" customHeight="false" outlineLevel="0" collapsed="false">
      <c r="A6" s="8" t="s">
        <v>488</v>
      </c>
      <c r="B6" s="9" t="n">
        <f aca="false">COUNTA(A12:A44)-B4-B5</f>
        <v>33</v>
      </c>
    </row>
    <row r="7" customFormat="false" ht="15" hidden="false" customHeight="false" outlineLevel="0" collapsed="false">
      <c r="A7" s="8" t="s">
        <v>489</v>
      </c>
      <c r="B7" s="9" t="n">
        <f aca="false">B4+B5+B6</f>
        <v>33</v>
      </c>
    </row>
    <row r="11" customFormat="false" ht="15" hidden="false" customHeight="false" outlineLevel="0" collapsed="false">
      <c r="A11" s="3" t="s">
        <v>490</v>
      </c>
      <c r="B11" s="3" t="s">
        <v>491</v>
      </c>
      <c r="C11" s="3" t="s">
        <v>6</v>
      </c>
      <c r="D11" s="3" t="s">
        <v>492</v>
      </c>
      <c r="E11" s="3" t="s">
        <v>493</v>
      </c>
      <c r="F11" s="3" t="s">
        <v>494</v>
      </c>
      <c r="G11" s="3" t="s">
        <v>495</v>
      </c>
      <c r="H11" s="3" t="s">
        <v>293</v>
      </c>
    </row>
    <row r="12" customFormat="false" ht="15" hidden="false" customHeight="false" outlineLevel="0" collapsed="false">
      <c r="A12" s="4" t="s">
        <v>496</v>
      </c>
      <c r="B12" s="4" t="s">
        <v>13</v>
      </c>
      <c r="C12" s="4" t="s">
        <v>497</v>
      </c>
      <c r="D12" s="4" t="s">
        <v>498</v>
      </c>
      <c r="E12" s="4" t="s">
        <v>499</v>
      </c>
      <c r="F12" s="10"/>
      <c r="G12" s="10"/>
      <c r="H12" s="10"/>
    </row>
    <row r="13" customFormat="false" ht="15" hidden="false" customHeight="false" outlineLevel="0" collapsed="false">
      <c r="A13" s="4" t="s">
        <v>500</v>
      </c>
      <c r="B13" s="4" t="s">
        <v>13</v>
      </c>
      <c r="C13" s="4" t="s">
        <v>501</v>
      </c>
      <c r="D13" s="4" t="s">
        <v>502</v>
      </c>
      <c r="E13" s="4" t="s">
        <v>503</v>
      </c>
      <c r="F13" s="10"/>
      <c r="G13" s="10"/>
      <c r="H13" s="10"/>
    </row>
    <row r="14" customFormat="false" ht="15" hidden="false" customHeight="false" outlineLevel="0" collapsed="false">
      <c r="A14" s="4" t="s">
        <v>504</v>
      </c>
      <c r="B14" s="4" t="s">
        <v>13</v>
      </c>
      <c r="C14" s="4" t="s">
        <v>505</v>
      </c>
      <c r="D14" s="4" t="s">
        <v>506</v>
      </c>
      <c r="E14" s="4" t="s">
        <v>507</v>
      </c>
      <c r="F14" s="10"/>
      <c r="G14" s="10"/>
      <c r="H14" s="10"/>
    </row>
    <row r="15" customFormat="false" ht="15" hidden="false" customHeight="false" outlineLevel="0" collapsed="false">
      <c r="A15" s="4" t="s">
        <v>508</v>
      </c>
      <c r="B15" s="4" t="s">
        <v>13</v>
      </c>
      <c r="C15" s="4" t="s">
        <v>509</v>
      </c>
      <c r="D15" s="4" t="s">
        <v>510</v>
      </c>
      <c r="E15" s="4" t="s">
        <v>511</v>
      </c>
      <c r="F15" s="10"/>
      <c r="G15" s="10"/>
      <c r="H15" s="10"/>
    </row>
    <row r="16" customFormat="false" ht="15" hidden="false" customHeight="false" outlineLevel="0" collapsed="false">
      <c r="A16" s="4" t="s">
        <v>512</v>
      </c>
      <c r="B16" s="4" t="s">
        <v>13</v>
      </c>
      <c r="C16" s="4" t="s">
        <v>513</v>
      </c>
      <c r="D16" s="4" t="s">
        <v>514</v>
      </c>
      <c r="E16" s="4" t="s">
        <v>515</v>
      </c>
      <c r="F16" s="10"/>
      <c r="G16" s="10"/>
      <c r="H16" s="10"/>
    </row>
    <row r="17" customFormat="false" ht="15" hidden="false" customHeight="false" outlineLevel="0" collapsed="false">
      <c r="A17" s="4" t="s">
        <v>516</v>
      </c>
      <c r="B17" s="4" t="s">
        <v>13</v>
      </c>
      <c r="C17" s="4" t="s">
        <v>517</v>
      </c>
      <c r="D17" s="4" t="s">
        <v>518</v>
      </c>
      <c r="E17" s="4" t="s">
        <v>519</v>
      </c>
      <c r="F17" s="10"/>
      <c r="G17" s="10"/>
      <c r="H17" s="10"/>
    </row>
    <row r="18" customFormat="false" ht="23.85" hidden="false" customHeight="false" outlineLevel="0" collapsed="false">
      <c r="A18" s="4" t="s">
        <v>520</v>
      </c>
      <c r="B18" s="4" t="s">
        <v>521</v>
      </c>
      <c r="C18" s="4" t="s">
        <v>522</v>
      </c>
      <c r="D18" s="4" t="s">
        <v>523</v>
      </c>
      <c r="E18" s="4" t="s">
        <v>524</v>
      </c>
      <c r="F18" s="10"/>
      <c r="G18" s="10"/>
      <c r="H18" s="10"/>
    </row>
    <row r="19" customFormat="false" ht="15" hidden="false" customHeight="false" outlineLevel="0" collapsed="false">
      <c r="A19" s="4" t="s">
        <v>525</v>
      </c>
      <c r="B19" s="4" t="s">
        <v>521</v>
      </c>
      <c r="C19" s="4" t="s">
        <v>526</v>
      </c>
      <c r="D19" s="4" t="s">
        <v>527</v>
      </c>
      <c r="E19" s="4" t="s">
        <v>528</v>
      </c>
      <c r="F19" s="10"/>
      <c r="G19" s="10"/>
      <c r="H19" s="10"/>
    </row>
    <row r="20" customFormat="false" ht="15" hidden="false" customHeight="false" outlineLevel="0" collapsed="false">
      <c r="A20" s="4" t="s">
        <v>529</v>
      </c>
      <c r="B20" s="4" t="s">
        <v>521</v>
      </c>
      <c r="C20" s="4" t="s">
        <v>530</v>
      </c>
      <c r="D20" s="4" t="s">
        <v>531</v>
      </c>
      <c r="E20" s="4" t="s">
        <v>532</v>
      </c>
      <c r="F20" s="10"/>
      <c r="G20" s="10"/>
      <c r="H20" s="10"/>
    </row>
    <row r="21" customFormat="false" ht="15" hidden="false" customHeight="false" outlineLevel="0" collapsed="false">
      <c r="A21" s="4" t="s">
        <v>533</v>
      </c>
      <c r="B21" s="4" t="s">
        <v>521</v>
      </c>
      <c r="C21" s="4" t="s">
        <v>534</v>
      </c>
      <c r="D21" s="4" t="s">
        <v>535</v>
      </c>
      <c r="E21" s="4" t="s">
        <v>536</v>
      </c>
      <c r="F21" s="10"/>
      <c r="G21" s="10"/>
      <c r="H21" s="10"/>
    </row>
    <row r="22" customFormat="false" ht="15" hidden="false" customHeight="false" outlineLevel="0" collapsed="false">
      <c r="A22" s="4" t="s">
        <v>537</v>
      </c>
      <c r="B22" s="4" t="s">
        <v>40</v>
      </c>
      <c r="C22" s="4" t="s">
        <v>538</v>
      </c>
      <c r="D22" s="4" t="s">
        <v>539</v>
      </c>
      <c r="E22" s="4" t="s">
        <v>540</v>
      </c>
      <c r="F22" s="10"/>
      <c r="G22" s="10"/>
      <c r="H22" s="10"/>
    </row>
    <row r="23" customFormat="false" ht="15" hidden="false" customHeight="false" outlineLevel="0" collapsed="false">
      <c r="A23" s="4" t="s">
        <v>541</v>
      </c>
      <c r="B23" s="4" t="s">
        <v>40</v>
      </c>
      <c r="C23" s="4" t="s">
        <v>542</v>
      </c>
      <c r="D23" s="4" t="s">
        <v>543</v>
      </c>
      <c r="E23" s="4" t="s">
        <v>544</v>
      </c>
      <c r="F23" s="10"/>
      <c r="G23" s="10"/>
      <c r="H23" s="10"/>
    </row>
    <row r="24" customFormat="false" ht="15" hidden="false" customHeight="false" outlineLevel="0" collapsed="false">
      <c r="A24" s="4" t="s">
        <v>545</v>
      </c>
      <c r="B24" s="4" t="s">
        <v>48</v>
      </c>
      <c r="C24" s="4" t="s">
        <v>546</v>
      </c>
      <c r="D24" s="4" t="s">
        <v>547</v>
      </c>
      <c r="E24" s="4" t="s">
        <v>548</v>
      </c>
      <c r="F24" s="10"/>
      <c r="G24" s="10"/>
      <c r="H24" s="10"/>
    </row>
    <row r="25" customFormat="false" ht="15" hidden="false" customHeight="false" outlineLevel="0" collapsed="false">
      <c r="A25" s="4" t="s">
        <v>549</v>
      </c>
      <c r="B25" s="4" t="s">
        <v>48</v>
      </c>
      <c r="C25" s="4" t="s">
        <v>550</v>
      </c>
      <c r="D25" s="4" t="s">
        <v>551</v>
      </c>
      <c r="E25" s="4" t="s">
        <v>552</v>
      </c>
      <c r="F25" s="10"/>
      <c r="G25" s="10"/>
      <c r="H25" s="10"/>
    </row>
    <row r="26" customFormat="false" ht="15" hidden="false" customHeight="false" outlineLevel="0" collapsed="false">
      <c r="A26" s="4" t="s">
        <v>553</v>
      </c>
      <c r="B26" s="4" t="s">
        <v>48</v>
      </c>
      <c r="C26" s="4" t="s">
        <v>554</v>
      </c>
      <c r="D26" s="4" t="s">
        <v>555</v>
      </c>
      <c r="E26" s="4" t="s">
        <v>556</v>
      </c>
      <c r="F26" s="10"/>
      <c r="G26" s="10"/>
      <c r="H26" s="10"/>
    </row>
    <row r="27" customFormat="false" ht="15" hidden="false" customHeight="false" outlineLevel="0" collapsed="false">
      <c r="A27" s="4" t="s">
        <v>557</v>
      </c>
      <c r="B27" s="4" t="s">
        <v>48</v>
      </c>
      <c r="C27" s="4" t="s">
        <v>558</v>
      </c>
      <c r="D27" s="4" t="s">
        <v>559</v>
      </c>
      <c r="E27" s="4" t="s">
        <v>560</v>
      </c>
      <c r="F27" s="10"/>
      <c r="G27" s="10"/>
      <c r="H27" s="10"/>
    </row>
    <row r="28" customFormat="false" ht="15" hidden="false" customHeight="false" outlineLevel="0" collapsed="false">
      <c r="A28" s="4" t="s">
        <v>561</v>
      </c>
      <c r="B28" s="4" t="s">
        <v>48</v>
      </c>
      <c r="C28" s="4" t="s">
        <v>562</v>
      </c>
      <c r="D28" s="4" t="s">
        <v>563</v>
      </c>
      <c r="E28" s="4" t="s">
        <v>564</v>
      </c>
      <c r="F28" s="10"/>
      <c r="G28" s="10"/>
      <c r="H28" s="10"/>
    </row>
    <row r="29" customFormat="false" ht="23.85" hidden="false" customHeight="false" outlineLevel="0" collapsed="false">
      <c r="A29" s="4" t="s">
        <v>565</v>
      </c>
      <c r="B29" s="4" t="s">
        <v>56</v>
      </c>
      <c r="C29" s="4" t="s">
        <v>566</v>
      </c>
      <c r="D29" s="4" t="s">
        <v>567</v>
      </c>
      <c r="E29" s="4" t="s">
        <v>568</v>
      </c>
      <c r="F29" s="10"/>
      <c r="G29" s="10"/>
      <c r="H29" s="10"/>
    </row>
    <row r="30" customFormat="false" ht="15" hidden="false" customHeight="false" outlineLevel="0" collapsed="false">
      <c r="A30" s="4" t="s">
        <v>569</v>
      </c>
      <c r="B30" s="4" t="s">
        <v>56</v>
      </c>
      <c r="C30" s="4" t="s">
        <v>570</v>
      </c>
      <c r="D30" s="4" t="s">
        <v>571</v>
      </c>
      <c r="E30" s="4" t="s">
        <v>572</v>
      </c>
      <c r="F30" s="10"/>
      <c r="G30" s="10"/>
      <c r="H30" s="10"/>
    </row>
    <row r="31" customFormat="false" ht="23.85" hidden="false" customHeight="false" outlineLevel="0" collapsed="false">
      <c r="A31" s="4" t="s">
        <v>573</v>
      </c>
      <c r="B31" s="4" t="s">
        <v>56</v>
      </c>
      <c r="C31" s="4" t="s">
        <v>574</v>
      </c>
      <c r="D31" s="4" t="s">
        <v>575</v>
      </c>
      <c r="E31" s="4" t="s">
        <v>576</v>
      </c>
      <c r="F31" s="10"/>
      <c r="G31" s="10"/>
      <c r="H31" s="10"/>
    </row>
    <row r="32" customFormat="false" ht="15" hidden="false" customHeight="false" outlineLevel="0" collapsed="false">
      <c r="A32" s="4" t="s">
        <v>577</v>
      </c>
      <c r="B32" s="4" t="s">
        <v>56</v>
      </c>
      <c r="C32" s="4" t="s">
        <v>578</v>
      </c>
      <c r="D32" s="4" t="s">
        <v>579</v>
      </c>
      <c r="E32" s="4" t="s">
        <v>580</v>
      </c>
      <c r="F32" s="10"/>
      <c r="G32" s="10"/>
      <c r="H32" s="10"/>
    </row>
    <row r="33" customFormat="false" ht="15" hidden="false" customHeight="false" outlineLevel="0" collapsed="false">
      <c r="A33" s="4" t="s">
        <v>581</v>
      </c>
      <c r="B33" s="4" t="s">
        <v>64</v>
      </c>
      <c r="C33" s="4" t="s">
        <v>582</v>
      </c>
      <c r="D33" s="4" t="s">
        <v>583</v>
      </c>
      <c r="E33" s="4" t="s">
        <v>584</v>
      </c>
      <c r="F33" s="10"/>
      <c r="G33" s="10"/>
      <c r="H33" s="10"/>
    </row>
    <row r="34" customFormat="false" ht="15" hidden="false" customHeight="false" outlineLevel="0" collapsed="false">
      <c r="A34" s="4" t="s">
        <v>585</v>
      </c>
      <c r="B34" s="4" t="s">
        <v>64</v>
      </c>
      <c r="C34" s="4" t="s">
        <v>586</v>
      </c>
      <c r="D34" s="4" t="s">
        <v>587</v>
      </c>
      <c r="E34" s="4" t="s">
        <v>588</v>
      </c>
      <c r="F34" s="10"/>
      <c r="G34" s="10"/>
      <c r="H34" s="10"/>
    </row>
    <row r="35" customFormat="false" ht="15" hidden="false" customHeight="false" outlineLevel="0" collapsed="false">
      <c r="A35" s="4" t="s">
        <v>75</v>
      </c>
      <c r="B35" s="4" t="s">
        <v>70</v>
      </c>
      <c r="C35" s="4" t="s">
        <v>589</v>
      </c>
      <c r="D35" s="4" t="s">
        <v>590</v>
      </c>
      <c r="E35" s="4" t="s">
        <v>591</v>
      </c>
      <c r="F35" s="10"/>
      <c r="G35" s="10"/>
      <c r="H35" s="10"/>
    </row>
    <row r="36" customFormat="false" ht="15" hidden="false" customHeight="false" outlineLevel="0" collapsed="false">
      <c r="A36" s="4" t="s">
        <v>83</v>
      </c>
      <c r="B36" s="4" t="s">
        <v>76</v>
      </c>
      <c r="C36" s="4" t="s">
        <v>77</v>
      </c>
      <c r="D36" s="4" t="s">
        <v>592</v>
      </c>
      <c r="E36" s="4" t="s">
        <v>593</v>
      </c>
      <c r="F36" s="10"/>
      <c r="G36" s="10"/>
      <c r="H36" s="10"/>
    </row>
    <row r="37" customFormat="false" ht="15" hidden="false" customHeight="false" outlineLevel="0" collapsed="false">
      <c r="A37" s="4" t="s">
        <v>594</v>
      </c>
      <c r="B37" s="4" t="s">
        <v>84</v>
      </c>
      <c r="C37" s="4" t="s">
        <v>595</v>
      </c>
      <c r="D37" s="4" t="s">
        <v>596</v>
      </c>
      <c r="E37" s="4" t="s">
        <v>597</v>
      </c>
      <c r="F37" s="10"/>
      <c r="G37" s="10"/>
      <c r="H37" s="10"/>
    </row>
    <row r="38" customFormat="false" ht="15" hidden="false" customHeight="false" outlineLevel="0" collapsed="false">
      <c r="A38" s="4" t="s">
        <v>598</v>
      </c>
      <c r="B38" s="4" t="s">
        <v>84</v>
      </c>
      <c r="C38" s="4" t="s">
        <v>599</v>
      </c>
      <c r="D38" s="4" t="s">
        <v>600</v>
      </c>
      <c r="E38" s="4" t="s">
        <v>601</v>
      </c>
      <c r="F38" s="10"/>
      <c r="G38" s="10"/>
      <c r="H38" s="10"/>
    </row>
    <row r="39" customFormat="false" ht="15" hidden="false" customHeight="false" outlineLevel="0" collapsed="false">
      <c r="A39" s="4" t="s">
        <v>602</v>
      </c>
      <c r="B39" s="4" t="s">
        <v>84</v>
      </c>
      <c r="C39" s="4" t="s">
        <v>603</v>
      </c>
      <c r="D39" s="4" t="s">
        <v>604</v>
      </c>
      <c r="E39" s="4" t="s">
        <v>605</v>
      </c>
      <c r="F39" s="10"/>
      <c r="G39" s="10"/>
      <c r="H39" s="10"/>
    </row>
    <row r="40" customFormat="false" ht="15" hidden="false" customHeight="false" outlineLevel="0" collapsed="false">
      <c r="A40" s="4" t="s">
        <v>606</v>
      </c>
      <c r="B40" s="4" t="s">
        <v>84</v>
      </c>
      <c r="C40" s="4" t="s">
        <v>607</v>
      </c>
      <c r="D40" s="4" t="s">
        <v>608</v>
      </c>
      <c r="E40" s="4" t="s">
        <v>609</v>
      </c>
      <c r="F40" s="10"/>
      <c r="G40" s="10"/>
      <c r="H40" s="10"/>
    </row>
    <row r="41" customFormat="false" ht="15" hidden="false" customHeight="false" outlineLevel="0" collapsed="false">
      <c r="A41" s="4" t="s">
        <v>610</v>
      </c>
      <c r="B41" s="4" t="s">
        <v>91</v>
      </c>
      <c r="C41" s="4" t="s">
        <v>611</v>
      </c>
      <c r="D41" s="4" t="s">
        <v>612</v>
      </c>
      <c r="E41" s="4" t="s">
        <v>613</v>
      </c>
      <c r="F41" s="10"/>
      <c r="G41" s="10"/>
      <c r="H41" s="10"/>
    </row>
    <row r="42" customFormat="false" ht="15" hidden="false" customHeight="false" outlineLevel="0" collapsed="false">
      <c r="A42" s="4" t="s">
        <v>614</v>
      </c>
      <c r="B42" s="4" t="s">
        <v>91</v>
      </c>
      <c r="C42" s="4" t="s">
        <v>615</v>
      </c>
      <c r="D42" s="4" t="s">
        <v>616</v>
      </c>
      <c r="E42" s="4" t="s">
        <v>617</v>
      </c>
      <c r="F42" s="10"/>
      <c r="G42" s="10"/>
      <c r="H42" s="10"/>
    </row>
    <row r="43" customFormat="false" ht="15" hidden="false" customHeight="false" outlineLevel="0" collapsed="false">
      <c r="A43" s="4" t="s">
        <v>618</v>
      </c>
      <c r="B43" s="4" t="s">
        <v>91</v>
      </c>
      <c r="C43" s="4" t="s">
        <v>619</v>
      </c>
      <c r="D43" s="4" t="s">
        <v>620</v>
      </c>
      <c r="E43" s="4" t="s">
        <v>621</v>
      </c>
      <c r="F43" s="10"/>
      <c r="G43" s="10"/>
      <c r="H43" s="10"/>
    </row>
    <row r="44" customFormat="false" ht="15" hidden="false" customHeight="false" outlineLevel="0" collapsed="false">
      <c r="A44" s="4" t="s">
        <v>107</v>
      </c>
      <c r="B44" s="4" t="s">
        <v>99</v>
      </c>
      <c r="C44" s="4" t="s">
        <v>622</v>
      </c>
      <c r="D44" s="4" t="s">
        <v>623</v>
      </c>
      <c r="E44" s="4" t="s">
        <v>624</v>
      </c>
      <c r="F44" s="10"/>
      <c r="G44" s="10"/>
      <c r="H44" s="10"/>
    </row>
  </sheetData>
  <dataValidations count="1">
    <dataValidation allowBlank="true" errorStyle="stop" operator="between" showDropDown="false" showErrorMessage="false" showInputMessage="false" sqref="H12:H44"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2026-10-16T04:10:32Z</dcterms:created>
  <dc:creator>openpyxl</dc:creator>
  <dc:description/>
  <dc:language>en-US</dc:language>
  <cp:lastModifiedBy/>
  <dcterms:modified xsi:type="dcterms:W3CDTF">2026-10-16T04:10:32Z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